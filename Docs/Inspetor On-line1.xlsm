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00000000-0000-0000-0000-000000000000}"/>
  <workbookPr codeName="EstaPasta_de_trabalho"/>
  <xr:revisionPtr revIDLastSave="0" documentId="8_{23789ED3-564C-9F40-A26B-1F23FBCB43B3}" xr6:coauthVersionLast="43" xr6:coauthVersionMax="43" xr10:uidLastSave="{00000000-0000-0000-0000-000000000000}"/>
  <bookViews>
    <workbookView xWindow="0" yWindow="0" windowWidth="11520" windowHeight="8130" tabRatio="937" activeTab="1" xr2:uid="{00000000-000D-0000-FFFF-FFFF00000000}"/>
  </bookViews>
  <sheets>
    <sheet name="Inicio" sheetId="22" r:id="rId1"/>
    <sheet name="Home" sheetId="1" r:id="rId2"/>
    <sheet name="Permanência" sheetId="2" r:id="rId3"/>
    <sheet name="Orientação" sheetId="3" r:id="rId4"/>
    <sheet name="Infração" sheetId="4" r:id="rId5"/>
    <sheet name="Ocorrência" sheetId="8" r:id="rId6"/>
    <sheet name="Interferencia" sheetId="9" r:id="rId7"/>
    <sheet name="Fumaça" sheetId="10" r:id="rId8"/>
    <sheet name="Atrasos" sheetId="5" r:id="rId9"/>
    <sheet name="Perdas " sheetId="6" r:id="rId10"/>
    <sheet name="Check list" sheetId="11" r:id="rId11"/>
    <sheet name="Fiscais" sheetId="12" r:id="rId12"/>
    <sheet name="Sptrans" sheetId="13" r:id="rId13"/>
    <sheet name="Solicitações" sheetId="15" r:id="rId14"/>
    <sheet name="Manutenção" sheetId="14" r:id="rId15"/>
    <sheet name="Limpeza" sheetId="20" r:id="rId16"/>
    <sheet name="Buraco" sheetId="16" r:id="rId17"/>
    <sheet name="Dados" sheetId="19" r:id="rId18"/>
    <sheet name="Plan1" sheetId="21" r:id="rId19"/>
  </sheets>
  <definedNames>
    <definedName name="ANÁLISE">Dados!$P$2:$P$8</definedName>
    <definedName name="COLISÃO">Dados!$N$2:$N$8</definedName>
    <definedName name="SITUAÇÃO">Dados!$O$2:$O$8</definedName>
    <definedName name="TIPO">Dados!$M$2:$M$8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5" i="2"/>
  <c r="D3" i="2"/>
</calcChain>
</file>

<file path=xl/sharedStrings.xml><?xml version="1.0" encoding="utf-8"?>
<sst xmlns="http://schemas.openxmlformats.org/spreadsheetml/2006/main" count="406" uniqueCount="239">
  <si>
    <t>Endereço</t>
  </si>
  <si>
    <t>DATA</t>
  </si>
  <si>
    <t>PERIODO</t>
  </si>
  <si>
    <t>FISCAL</t>
  </si>
  <si>
    <t>LOCAL</t>
  </si>
  <si>
    <t>ASSUNTO</t>
  </si>
  <si>
    <t>FUNCIONARIO</t>
  </si>
  <si>
    <t>SITUAÇÃO</t>
  </si>
  <si>
    <t>INFRAÇÃO</t>
  </si>
  <si>
    <t>SETOR</t>
  </si>
  <si>
    <t>LINHA</t>
  </si>
  <si>
    <t>HORARIO</t>
  </si>
  <si>
    <t>MOTIVO</t>
  </si>
  <si>
    <t>RESPONSAVEL</t>
  </si>
  <si>
    <t>TRATATIVA</t>
  </si>
  <si>
    <t>ENDEREÇO</t>
  </si>
  <si>
    <t>BAIRRO</t>
  </si>
  <si>
    <t>Nº PROTOCOLO</t>
  </si>
  <si>
    <t>INICIO</t>
  </si>
  <si>
    <t>FIM</t>
  </si>
  <si>
    <t>DURAÇÃO</t>
  </si>
  <si>
    <t>QUANT. INFRAÇÃO</t>
  </si>
  <si>
    <t>Manhã</t>
  </si>
  <si>
    <t>129F/10</t>
  </si>
  <si>
    <t>SENTIDO</t>
  </si>
  <si>
    <t>TP</t>
  </si>
  <si>
    <t>8677/10</t>
  </si>
  <si>
    <t>8686/10</t>
  </si>
  <si>
    <t>958P/10</t>
  </si>
  <si>
    <t>TOTAL</t>
  </si>
  <si>
    <t>PREFIXO</t>
  </si>
  <si>
    <t>NIVEL</t>
  </si>
  <si>
    <t>OBSERVAÇÃO</t>
  </si>
  <si>
    <t>PONTE DO PIQUIRI</t>
  </si>
  <si>
    <t>STATUS</t>
  </si>
  <si>
    <t>TIPO DE FISCALIZAÇÃO</t>
  </si>
  <si>
    <t>AGENTES</t>
  </si>
  <si>
    <t>RESP. CIENTE</t>
  </si>
  <si>
    <t>C.O.C CIENTE</t>
  </si>
  <si>
    <t>ORGÃO RESP.</t>
  </si>
  <si>
    <t>CET</t>
  </si>
  <si>
    <t>Atendete</t>
  </si>
  <si>
    <t>Data</t>
  </si>
  <si>
    <t>Hora</t>
  </si>
  <si>
    <t>Observação</t>
  </si>
  <si>
    <t>Orgão Resp.</t>
  </si>
  <si>
    <t>Nº Protocolo</t>
  </si>
  <si>
    <t>C.O.C Ciente</t>
  </si>
  <si>
    <t>TS</t>
  </si>
  <si>
    <t>Arlindo</t>
  </si>
  <si>
    <t>Edi</t>
  </si>
  <si>
    <t>Crevelari</t>
  </si>
  <si>
    <t>Duarte</t>
  </si>
  <si>
    <t>Tiago</t>
  </si>
  <si>
    <t>Mendonça</t>
  </si>
  <si>
    <t>SPTrans</t>
  </si>
  <si>
    <t>Policia Militar</t>
  </si>
  <si>
    <t>01</t>
  </si>
  <si>
    <t>Tarde</t>
  </si>
  <si>
    <t>Noturno</t>
  </si>
  <si>
    <t>Motorista</t>
  </si>
  <si>
    <t>Cobrador</t>
  </si>
  <si>
    <t>Fiscal</t>
  </si>
  <si>
    <t>Coordenador</t>
  </si>
  <si>
    <t>Manobrista</t>
  </si>
  <si>
    <t>Plantonista</t>
  </si>
  <si>
    <t>Socorrista</t>
  </si>
  <si>
    <t>Leve</t>
  </si>
  <si>
    <t>Grave</t>
  </si>
  <si>
    <t>Aline Jesus</t>
  </si>
  <si>
    <t>Vanessa Nascimento</t>
  </si>
  <si>
    <t>W.Brito</t>
  </si>
  <si>
    <t>Cristiane Ferreira</t>
  </si>
  <si>
    <t>Neves</t>
  </si>
  <si>
    <t>Jandui</t>
  </si>
  <si>
    <t>Miranda</t>
  </si>
  <si>
    <t>S.Ronaldo</t>
  </si>
  <si>
    <t>Marcio Lopes</t>
  </si>
  <si>
    <t>189L/10</t>
  </si>
  <si>
    <t>199D/10</t>
  </si>
  <si>
    <t>129F/41</t>
  </si>
  <si>
    <t>8600/22</t>
  </si>
  <si>
    <t>8400/10</t>
  </si>
  <si>
    <t>8600/10</t>
  </si>
  <si>
    <t>8500/10</t>
  </si>
  <si>
    <t>847P/10</t>
  </si>
  <si>
    <t>917H/10</t>
  </si>
  <si>
    <t>8008/10</t>
  </si>
  <si>
    <t>8002/10</t>
  </si>
  <si>
    <t>8300/10</t>
  </si>
  <si>
    <t>8100/10</t>
  </si>
  <si>
    <t>8200/10</t>
  </si>
  <si>
    <t>8007/10</t>
  </si>
  <si>
    <t>1019/10</t>
  </si>
  <si>
    <t>8006/10</t>
  </si>
  <si>
    <t>8009/10</t>
  </si>
  <si>
    <t>8009/31</t>
  </si>
  <si>
    <t>8065/10</t>
  </si>
  <si>
    <t>8004/10</t>
  </si>
  <si>
    <t>8043/10</t>
  </si>
  <si>
    <t>CODIGO</t>
  </si>
  <si>
    <t>04</t>
  </si>
  <si>
    <t>11</t>
  </si>
  <si>
    <t>18</t>
  </si>
  <si>
    <t>02</t>
  </si>
  <si>
    <t>13</t>
  </si>
  <si>
    <t>03</t>
  </si>
  <si>
    <t>Abandonar posto de trabalho</t>
  </si>
  <si>
    <t>Agressão</t>
  </si>
  <si>
    <t>Ausência não Justificada</t>
  </si>
  <si>
    <t>Ausência Justificada</t>
  </si>
  <si>
    <t>Araújo</t>
  </si>
  <si>
    <t>Gravíssima</t>
  </si>
  <si>
    <t xml:space="preserve">Alterar itinerário da linha </t>
  </si>
  <si>
    <t>31</t>
  </si>
  <si>
    <t>Anotar/digitar incorretamente os dados do validador</t>
  </si>
  <si>
    <t>55</t>
  </si>
  <si>
    <t>Apresentar sintomas de embriagues</t>
  </si>
  <si>
    <t>35</t>
  </si>
  <si>
    <t>Apresentar-se com uniforme irregular</t>
  </si>
  <si>
    <t>59</t>
  </si>
  <si>
    <t>36</t>
  </si>
  <si>
    <t>Atitude desonesta</t>
  </si>
  <si>
    <t>52</t>
  </si>
  <si>
    <t>Atrasar entrega da feria</t>
  </si>
  <si>
    <t>24</t>
  </si>
  <si>
    <t>Avançar semaforo fechado</t>
  </si>
  <si>
    <t>Chegar atrasado ao serviço</t>
  </si>
  <si>
    <t>51</t>
  </si>
  <si>
    <t>44</t>
  </si>
  <si>
    <t>comportamento/conduta inconviniente</t>
  </si>
  <si>
    <t>deixar de comunicar acidente ocorrido</t>
  </si>
  <si>
    <t>104</t>
  </si>
  <si>
    <t>56</t>
  </si>
  <si>
    <t>Deixar de fazer anotaçoes no relatorio</t>
  </si>
  <si>
    <t>Desobedecer o superior</t>
  </si>
  <si>
    <t>32</t>
  </si>
  <si>
    <t>Desobedecer tabela de horario</t>
  </si>
  <si>
    <t>Desrespeitar funcionario (s)</t>
  </si>
  <si>
    <t>33</t>
  </si>
  <si>
    <t>34</t>
  </si>
  <si>
    <t>Desrespeitar passageiro(s)/pedestre(s)</t>
  </si>
  <si>
    <t>106</t>
  </si>
  <si>
    <t>Dirigir falando ao celular/fone de ouvido</t>
  </si>
  <si>
    <t>37</t>
  </si>
  <si>
    <t>Dirigir o veiculo sem autorização</t>
  </si>
  <si>
    <t>Efetuar ultrapassagem perigosa</t>
  </si>
  <si>
    <t>Embarque/desembarque irregular - Ponto</t>
  </si>
  <si>
    <t>Embarque/desembarque irregular - Porta</t>
  </si>
  <si>
    <t>107</t>
  </si>
  <si>
    <t>53</t>
  </si>
  <si>
    <t>Entrega irregular de feria</t>
  </si>
  <si>
    <t>Exceder velocidade maxima permitida</t>
  </si>
  <si>
    <t>Fazer uso de objetos inadequados a função</t>
  </si>
  <si>
    <t>Falta de asseio</t>
  </si>
  <si>
    <t>Freadas ou arrancadas bruscas</t>
  </si>
  <si>
    <t>Fumar no interior do coletivo</t>
  </si>
  <si>
    <t>8594/10</t>
  </si>
  <si>
    <t>Ultrapassagem em local de ponto</t>
  </si>
  <si>
    <t>847P/42</t>
  </si>
  <si>
    <t>Trafegar sem placa de indentificação</t>
  </si>
  <si>
    <t>Fazia uso de fone de ouvidos,conectado ao um aperelo celular</t>
  </si>
  <si>
    <t>Av.General Edgar Facó,900</t>
  </si>
  <si>
    <t>Pirituba</t>
  </si>
  <si>
    <t>Obs.</t>
  </si>
  <si>
    <t>Parada Petronio Portela</t>
  </si>
  <si>
    <t>PONTO</t>
  </si>
  <si>
    <t xml:space="preserve">NOME </t>
  </si>
  <si>
    <t>PEGADA</t>
  </si>
  <si>
    <t>LARGADA</t>
  </si>
  <si>
    <t>Terminal Pirituba</t>
  </si>
  <si>
    <t>Dispensado</t>
  </si>
  <si>
    <t>Alegou problemas de saude</t>
  </si>
  <si>
    <t>Miqueias</t>
  </si>
  <si>
    <t>TABELA</t>
  </si>
  <si>
    <t>L03</t>
  </si>
  <si>
    <t>Atendimento ao mal subto de passageiro</t>
  </si>
  <si>
    <t>realizou atrasado</t>
  </si>
  <si>
    <t>L05</t>
  </si>
  <si>
    <t>Hr.Partida</t>
  </si>
  <si>
    <t>Hr.Saida</t>
  </si>
  <si>
    <t>Hr.Real</t>
  </si>
  <si>
    <t>falta de operador, e troca de carro</t>
  </si>
  <si>
    <t>Adriano</t>
  </si>
  <si>
    <t>morosidade do motorista S.AMAURI</t>
  </si>
  <si>
    <t>CARRO</t>
  </si>
  <si>
    <t>Entrar em SOS em percurso</t>
  </si>
  <si>
    <t>Tiago da Manuteção</t>
  </si>
  <si>
    <t>recolhe/troca</t>
  </si>
  <si>
    <t>falta de motorista</t>
  </si>
  <si>
    <t>Genivaldo</t>
  </si>
  <si>
    <t>morosidade do motorista S.Cordeiro</t>
  </si>
  <si>
    <t>Araujo</t>
  </si>
  <si>
    <t>Proibição de Fumar em locais fechados</t>
  </si>
  <si>
    <t>Atenção no transito e conversões</t>
  </si>
  <si>
    <t>Luciano</t>
  </si>
  <si>
    <t xml:space="preserve">Limpeza dos coletivos em geral </t>
  </si>
  <si>
    <t>TIPO DE SERVIÇO</t>
  </si>
  <si>
    <t>Total</t>
  </si>
  <si>
    <t>Fabio Camelo</t>
  </si>
  <si>
    <t>Marley</t>
  </si>
  <si>
    <t>Edson Franco</t>
  </si>
  <si>
    <t>Borges</t>
  </si>
  <si>
    <t>Nerisvaldo</t>
  </si>
  <si>
    <t>C.Reginaldo</t>
  </si>
  <si>
    <t>Penha</t>
  </si>
  <si>
    <t>C.Antonio</t>
  </si>
  <si>
    <t>Local de trabalho mal conservado</t>
  </si>
  <si>
    <t>Não auxiliar o motorista</t>
  </si>
  <si>
    <t>Não cobrar passagem</t>
  </si>
  <si>
    <t>Não conferir identificação escolar/especial</t>
  </si>
  <si>
    <t>HORÁRIO</t>
  </si>
  <si>
    <t>MOTORISTA</t>
  </si>
  <si>
    <t xml:space="preserve">LOCAL </t>
  </si>
  <si>
    <t>VITIMAS</t>
  </si>
  <si>
    <t>COLISÃO</t>
  </si>
  <si>
    <t>Acidentes com Relatórios</t>
  </si>
  <si>
    <t>938C/10</t>
  </si>
  <si>
    <t>M.ABEL</t>
  </si>
  <si>
    <t xml:space="preserve">R. Guerino Giovane </t>
  </si>
  <si>
    <t>TIPO</t>
  </si>
  <si>
    <t>ANÁLISE</t>
  </si>
  <si>
    <t>COM CULPA</t>
  </si>
  <si>
    <t>PORTARIA</t>
  </si>
  <si>
    <t>Portaria</t>
  </si>
  <si>
    <t>Preventiva</t>
  </si>
  <si>
    <t>Análise</t>
  </si>
  <si>
    <t>Frontal</t>
  </si>
  <si>
    <t>Traseira</t>
  </si>
  <si>
    <t>Esquerda</t>
  </si>
  <si>
    <t>Direita</t>
  </si>
  <si>
    <t>Diretoria</t>
  </si>
  <si>
    <t>Atropelamento</t>
  </si>
  <si>
    <t>Colisão</t>
  </si>
  <si>
    <t>Com Culpa</t>
  </si>
  <si>
    <t>Sem Culpa</t>
  </si>
  <si>
    <t>Queda Acidental</t>
  </si>
  <si>
    <t>z</t>
  </si>
  <si>
    <t xml:space="preserve">                Inspetoria Virtual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</si>
</sst>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name val="Arial Narrow"/>
      <family val="2"/>
    </font>
    <font>
      <b/>
      <sz val="36"/>
      <name val="Arial Black"/>
      <family val="2"/>
    </font>
    <font>
      <b/>
      <sz val="16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20" fontId="0" fillId="0" borderId="0" xfId="0" applyNumberFormat="1"/>
    <xf numFmtId="0" fontId="0" fillId="2" borderId="0" xfId="0" applyFill="1" applyAlignment="1"/>
    <xf numFmtId="0" fontId="0" fillId="2" borderId="0" xfId="0" applyFill="1"/>
    <xf numFmtId="0" fontId="5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20" fontId="0" fillId="0" borderId="0" xfId="0" applyNumberFormat="1" applyAlignment="1">
      <alignment horizontal="left"/>
    </xf>
    <xf numFmtId="20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3" fillId="5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10" xfId="0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4" fillId="5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Fill="1"/>
    <xf numFmtId="2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13" fillId="4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center" vertical="center"/>
    </xf>
    <xf numFmtId="0" fontId="0" fillId="7" borderId="0" xfId="0" applyFill="1" applyAlignment="1">
      <alignment horizontal="center"/>
    </xf>
    <xf numFmtId="0" fontId="5" fillId="7" borderId="0" xfId="0" applyFont="1" applyFill="1" applyAlignment="1">
      <alignment horizont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0" xfId="0" applyFill="1" applyBorder="1" applyAlignment="1">
      <alignment horizontal="center"/>
    </xf>
    <xf numFmtId="0" fontId="12" fillId="6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 /><Relationship Id="rId13" Type="http://schemas.openxmlformats.org/officeDocument/2006/relationships/worksheet" Target="worksheets/sheet13.xml" /><Relationship Id="rId18" Type="http://schemas.openxmlformats.org/officeDocument/2006/relationships/worksheet" Target="worksheets/sheet18.xml" /><Relationship Id="rId3" Type="http://schemas.openxmlformats.org/officeDocument/2006/relationships/worksheet" Target="worksheets/sheet3.xml" /><Relationship Id="rId21" Type="http://schemas.openxmlformats.org/officeDocument/2006/relationships/styles" Target="styles.xml" /><Relationship Id="rId7" Type="http://schemas.openxmlformats.org/officeDocument/2006/relationships/worksheet" Target="worksheets/sheet7.xml" /><Relationship Id="rId12" Type="http://schemas.openxmlformats.org/officeDocument/2006/relationships/worksheet" Target="worksheets/sheet12.xml" /><Relationship Id="rId17" Type="http://schemas.openxmlformats.org/officeDocument/2006/relationships/worksheet" Target="worksheets/sheet17.xml" /><Relationship Id="rId2" Type="http://schemas.openxmlformats.org/officeDocument/2006/relationships/worksheet" Target="worksheets/sheet2.xml" /><Relationship Id="rId16" Type="http://schemas.openxmlformats.org/officeDocument/2006/relationships/worksheet" Target="worksheets/sheet16.xml" /><Relationship Id="rId20" Type="http://schemas.openxmlformats.org/officeDocument/2006/relationships/theme" Target="theme/theme1.xml" /><Relationship Id="rId1" Type="http://schemas.openxmlformats.org/officeDocument/2006/relationships/worksheet" Target="worksheets/sheet1.xml" /><Relationship Id="rId6" Type="http://schemas.openxmlformats.org/officeDocument/2006/relationships/worksheet" Target="worksheets/sheet6.xml" /><Relationship Id="rId11" Type="http://schemas.openxmlformats.org/officeDocument/2006/relationships/worksheet" Target="worksheets/sheet11.xml" /><Relationship Id="rId24" Type="http://schemas.microsoft.com/office/2006/relationships/vbaProject" Target="vbaProject.bin" /><Relationship Id="rId5" Type="http://schemas.openxmlformats.org/officeDocument/2006/relationships/worksheet" Target="worksheets/sheet5.xml" /><Relationship Id="rId15" Type="http://schemas.openxmlformats.org/officeDocument/2006/relationships/worksheet" Target="worksheets/sheet15.xml" /><Relationship Id="rId23" Type="http://schemas.openxmlformats.org/officeDocument/2006/relationships/calcChain" Target="calcChain.xml" /><Relationship Id="rId10" Type="http://schemas.openxmlformats.org/officeDocument/2006/relationships/worksheet" Target="worksheets/sheet10.xml" /><Relationship Id="rId19" Type="http://schemas.openxmlformats.org/officeDocument/2006/relationships/worksheet" Target="worksheets/sheet19.xml" /><Relationship Id="rId4" Type="http://schemas.openxmlformats.org/officeDocument/2006/relationships/worksheet" Target="worksheets/sheet4.xml" /><Relationship Id="rId9" Type="http://schemas.openxmlformats.org/officeDocument/2006/relationships/worksheet" Target="worksheets/sheet9.xml" /><Relationship Id="rId14" Type="http://schemas.openxmlformats.org/officeDocument/2006/relationships/worksheet" Target="worksheets/sheet14.xml" /><Relationship Id="rId22" Type="http://schemas.openxmlformats.org/officeDocument/2006/relationships/sharedStrings" Target="sharedStrings.xml" 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Ocorr&#234;ncia!A1" /><Relationship Id="rId2" Type="http://schemas.openxmlformats.org/officeDocument/2006/relationships/image" Target="../media/image2.png" /><Relationship Id="rId1" Type="http://schemas.openxmlformats.org/officeDocument/2006/relationships/image" Target="../media/image1.wmf" 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Sptrans!A1" /><Relationship Id="rId13" Type="http://schemas.openxmlformats.org/officeDocument/2006/relationships/hyperlink" Target="#Buraco!A1" /><Relationship Id="rId3" Type="http://schemas.openxmlformats.org/officeDocument/2006/relationships/hyperlink" Target="#Infra&#231;&#227;o!A1" /><Relationship Id="rId7" Type="http://schemas.openxmlformats.org/officeDocument/2006/relationships/hyperlink" Target="#Fiscais!A1" /><Relationship Id="rId12" Type="http://schemas.openxmlformats.org/officeDocument/2006/relationships/hyperlink" Target="#Fuma&#231;a!A1" /><Relationship Id="rId2" Type="http://schemas.openxmlformats.org/officeDocument/2006/relationships/hyperlink" Target="#Orienta&#231;&#227;o!A1" /><Relationship Id="rId16" Type="http://schemas.openxmlformats.org/officeDocument/2006/relationships/hyperlink" Target="#Limpeza!A1" /><Relationship Id="rId1" Type="http://schemas.openxmlformats.org/officeDocument/2006/relationships/hyperlink" Target="#Perman&#234;ncia!A1" /><Relationship Id="rId6" Type="http://schemas.openxmlformats.org/officeDocument/2006/relationships/hyperlink" Target="#Manuten&#231;&#227;o!A1" /><Relationship Id="rId11" Type="http://schemas.openxmlformats.org/officeDocument/2006/relationships/hyperlink" Target="#'Check list'!A1" /><Relationship Id="rId5" Type="http://schemas.openxmlformats.org/officeDocument/2006/relationships/hyperlink" Target="#Solicita&#231;&#245;es!A1" /><Relationship Id="rId15" Type="http://schemas.openxmlformats.org/officeDocument/2006/relationships/hyperlink" Target="#Inicio!A1" /><Relationship Id="rId10" Type="http://schemas.openxmlformats.org/officeDocument/2006/relationships/hyperlink" Target="#Ocorr&#234;ncia!A1" /><Relationship Id="rId4" Type="http://schemas.openxmlformats.org/officeDocument/2006/relationships/hyperlink" Target="#'Perdas '!A1" /><Relationship Id="rId9" Type="http://schemas.openxmlformats.org/officeDocument/2006/relationships/hyperlink" Target="#Interferencia!A1" /><Relationship Id="rId14" Type="http://schemas.openxmlformats.org/officeDocument/2006/relationships/hyperlink" Target="#Atrasos!A1" 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 /><Relationship Id="rId1" Type="http://schemas.openxmlformats.org/officeDocument/2006/relationships/hyperlink" Target="#Home!A1" 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 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 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 /><Relationship Id="rId2" Type="http://schemas.openxmlformats.org/officeDocument/2006/relationships/image" Target="../media/image4.png" /><Relationship Id="rId1" Type="http://schemas.openxmlformats.org/officeDocument/2006/relationships/hyperlink" Target="#Home!A1" 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 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Home!A1" 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Home!A1" 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Home!A1" 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 /><Relationship Id="rId1" Type="http://schemas.openxmlformats.org/officeDocument/2006/relationships/hyperlink" Target="#Home!A1" 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Home!A1" 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Home!A1" 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 /><Relationship Id="rId1" Type="http://schemas.openxmlformats.org/officeDocument/2006/relationships/hyperlink" Target="#Home!A1" 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 /><Relationship Id="rId2" Type="http://schemas.openxmlformats.org/officeDocument/2006/relationships/image" Target="../media/image4.png" /><Relationship Id="rId1" Type="http://schemas.openxmlformats.org/officeDocument/2006/relationships/hyperlink" Target="#Home!A1" 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Home!A1" 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Home!A1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9525</xdr:colOff>
      <xdr:row>1</xdr:row>
      <xdr:rowOff>9526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0" y="762000"/>
          <a:ext cx="6715125" cy="9526"/>
        </a:xfrm>
        <a:prstGeom prst="line">
          <a:avLst/>
        </a:prstGeom>
        <a:ln w="3810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324078</xdr:colOff>
      <xdr:row>0</xdr:row>
      <xdr:rowOff>163641</xdr:rowOff>
    </xdr:from>
    <xdr:to>
      <xdr:col>2</xdr:col>
      <xdr:colOff>200152</xdr:colOff>
      <xdr:row>0</xdr:row>
      <xdr:rowOff>1355519</xdr:rowOff>
    </xdr:to>
    <xdr:pic>
      <xdr:nvPicPr>
        <xdr:cNvPr id="8" name="Imagem 7" descr="C:\Program Files\Microsoft Office\MEDIA\CAGCAT10\j0183328.wm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0636596">
          <a:off x="324078" y="163641"/>
          <a:ext cx="1323874" cy="11918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489584</xdr:colOff>
      <xdr:row>2</xdr:row>
      <xdr:rowOff>9524</xdr:rowOff>
    </xdr:from>
    <xdr:to>
      <xdr:col>1</xdr:col>
      <xdr:colOff>499109</xdr:colOff>
      <xdr:row>5</xdr:row>
      <xdr:rowOff>190499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584" y="1718310"/>
          <a:ext cx="803911" cy="763905"/>
        </a:xfrm>
        <a:prstGeom prst="rect">
          <a:avLst/>
        </a:prstGeom>
      </xdr:spPr>
    </xdr:pic>
    <xdr:clientData/>
  </xdr:twoCellAnchor>
  <xdr:oneCellAnchor>
    <xdr:from>
      <xdr:col>0</xdr:col>
      <xdr:colOff>295275</xdr:colOff>
      <xdr:row>5</xdr:row>
      <xdr:rowOff>9525</xdr:rowOff>
    </xdr:from>
    <xdr:ext cx="1104405" cy="468013"/>
    <xdr:sp macro="" textlink="">
      <xdr:nvSpPr>
        <xdr:cNvPr id="14" name="CaixaDeText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95275" y="2286000"/>
          <a:ext cx="110440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400" b="1"/>
            <a:t>Colisão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9525</xdr:rowOff>
    </xdr:from>
    <xdr:to>
      <xdr:col>7</xdr:col>
      <xdr:colOff>123825</xdr:colOff>
      <xdr:row>7</xdr:row>
      <xdr:rowOff>152400</xdr:rowOff>
    </xdr:to>
    <xdr:sp macro="" textlink="">
      <xdr:nvSpPr>
        <xdr:cNvPr id="2" name="Retângulo com Canto Diagonal Apar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828800" y="581025"/>
          <a:ext cx="1952625" cy="904875"/>
        </a:xfrm>
        <a:prstGeom prst="snip2DiagRect">
          <a:avLst/>
        </a:prstGeom>
        <a:solidFill>
          <a:schemeClr val="accent6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i="0">
              <a:solidFill>
                <a:srgbClr val="FFFFCC"/>
              </a:solidFill>
              <a:latin typeface="Bell MT" panose="02020503060305020303" pitchFamily="18" charset="0"/>
            </a:rPr>
            <a:t>PONTO</a:t>
          </a:r>
          <a:r>
            <a:rPr lang="pt-BR" sz="2000" b="1" i="0" baseline="0">
              <a:solidFill>
                <a:srgbClr val="FFFFCC"/>
              </a:solidFill>
              <a:latin typeface="Bell MT" panose="02020503060305020303" pitchFamily="18" charset="0"/>
            </a:rPr>
            <a:t> CRITICO</a:t>
          </a:r>
          <a:endParaRPr lang="pt-BR" sz="2000" b="1" i="0">
            <a:solidFill>
              <a:srgbClr val="FFFFCC"/>
            </a:solidFill>
            <a:latin typeface="Bell MT" panose="02020503060305020303" pitchFamily="18" charset="0"/>
          </a:endParaRPr>
        </a:p>
      </xdr:txBody>
    </xdr:sp>
    <xdr:clientData/>
  </xdr:twoCellAnchor>
  <xdr:twoCellAnchor>
    <xdr:from>
      <xdr:col>7</xdr:col>
      <xdr:colOff>158751</xdr:colOff>
      <xdr:row>7</xdr:row>
      <xdr:rowOff>183090</xdr:rowOff>
    </xdr:from>
    <xdr:to>
      <xdr:col>10</xdr:col>
      <xdr:colOff>282576</xdr:colOff>
      <xdr:row>12</xdr:row>
      <xdr:rowOff>135465</xdr:rowOff>
    </xdr:to>
    <xdr:sp macro="" textlink="">
      <xdr:nvSpPr>
        <xdr:cNvPr id="12" name="Retângulo com Canto Diagonal Apar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677584" y="1135590"/>
          <a:ext cx="1965325" cy="904875"/>
        </a:xfrm>
        <a:prstGeom prst="snip2DiagRect">
          <a:avLst/>
        </a:prstGeom>
        <a:solidFill>
          <a:schemeClr val="accent2">
            <a:lumMod val="75000"/>
          </a:schemeClr>
        </a:solidFill>
        <a:ln w="381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lang="pt-BR" sz="2400" b="1"/>
            <a:t>Orientação</a:t>
          </a:r>
        </a:p>
      </xdr:txBody>
    </xdr:sp>
    <xdr:clientData/>
  </xdr:twoCellAnchor>
  <xdr:twoCellAnchor>
    <xdr:from>
      <xdr:col>10</xdr:col>
      <xdr:colOff>189442</xdr:colOff>
      <xdr:row>3</xdr:row>
      <xdr:rowOff>143933</xdr:rowOff>
    </xdr:from>
    <xdr:to>
      <xdr:col>24</xdr:col>
      <xdr:colOff>313267</xdr:colOff>
      <xdr:row>8</xdr:row>
      <xdr:rowOff>96308</xdr:rowOff>
    </xdr:to>
    <xdr:sp macro="" textlink="">
      <xdr:nvSpPr>
        <xdr:cNvPr id="14" name="Retângulo com Canto Diagonal Aparad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4549775" y="334433"/>
          <a:ext cx="1965325" cy="904875"/>
        </a:xfrm>
        <a:prstGeom prst="snip2DiagRect">
          <a:avLst/>
        </a:prstGeom>
        <a:solidFill>
          <a:schemeClr val="accent6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rgbClr val="FFFFCC"/>
              </a:solidFill>
            </a:rPr>
            <a:t>INFRAÇÃO</a:t>
          </a:r>
        </a:p>
      </xdr:txBody>
    </xdr:sp>
    <xdr:clientData/>
  </xdr:twoCellAnchor>
  <xdr:twoCellAnchor>
    <xdr:from>
      <xdr:col>7</xdr:col>
      <xdr:colOff>298449</xdr:colOff>
      <xdr:row>17</xdr:row>
      <xdr:rowOff>51863</xdr:rowOff>
    </xdr:from>
    <xdr:to>
      <xdr:col>10</xdr:col>
      <xdr:colOff>422274</xdr:colOff>
      <xdr:row>41</xdr:row>
      <xdr:rowOff>4238</xdr:rowOff>
    </xdr:to>
    <xdr:sp macro="" textlink="">
      <xdr:nvSpPr>
        <xdr:cNvPr id="23" name="Retângulo com Canto Diagonal Aparado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2817282" y="2909363"/>
          <a:ext cx="1965325" cy="904875"/>
        </a:xfrm>
        <a:prstGeom prst="snip2DiagRect">
          <a:avLst/>
        </a:prstGeom>
        <a:solidFill>
          <a:schemeClr val="accent2">
            <a:lumMod val="75000"/>
          </a:schemeClr>
        </a:solidFill>
        <a:ln w="381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Perdas de Partidas</a:t>
          </a:r>
        </a:p>
      </xdr:txBody>
    </xdr:sp>
    <xdr:clientData/>
  </xdr:twoCellAnchor>
  <xdr:twoCellAnchor>
    <xdr:from>
      <xdr:col>4</xdr:col>
      <xdr:colOff>275172</xdr:colOff>
      <xdr:row>40</xdr:row>
      <xdr:rowOff>103717</xdr:rowOff>
    </xdr:from>
    <xdr:to>
      <xdr:col>7</xdr:col>
      <xdr:colOff>398997</xdr:colOff>
      <xdr:row>96</xdr:row>
      <xdr:rowOff>56092</xdr:rowOff>
    </xdr:to>
    <xdr:sp macro="" textlink="">
      <xdr:nvSpPr>
        <xdr:cNvPr id="24" name="Retângulo com Canto Diagonal Aparado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889005" y="3723217"/>
          <a:ext cx="2028825" cy="904875"/>
        </a:xfrm>
        <a:prstGeom prst="snip2DiagRect">
          <a:avLst/>
        </a:prstGeom>
        <a:solidFill>
          <a:schemeClr val="accent6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FFCC"/>
              </a:solidFill>
            </a:rPr>
            <a:t>SOLICITAÇÕES</a:t>
          </a:r>
        </a:p>
      </xdr:txBody>
    </xdr:sp>
    <xdr:clientData/>
  </xdr:twoCellAnchor>
  <xdr:twoCellAnchor>
    <xdr:from>
      <xdr:col>10</xdr:col>
      <xdr:colOff>452968</xdr:colOff>
      <xdr:row>41</xdr:row>
      <xdr:rowOff>52917</xdr:rowOff>
    </xdr:from>
    <xdr:to>
      <xdr:col>24</xdr:col>
      <xdr:colOff>476251</xdr:colOff>
      <xdr:row>96</xdr:row>
      <xdr:rowOff>151342</xdr:rowOff>
    </xdr:to>
    <xdr:sp macro="" textlink="">
      <xdr:nvSpPr>
        <xdr:cNvPr id="25" name="Retângulo com Canto Diagonal Aparado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813301" y="3862917"/>
          <a:ext cx="1864783" cy="860425"/>
        </a:xfrm>
        <a:prstGeom prst="snip2DiagRect">
          <a:avLst/>
        </a:prstGeom>
        <a:solidFill>
          <a:schemeClr val="accent6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FFCC"/>
              </a:solidFill>
            </a:rPr>
            <a:t>MANUTENÇÃO</a:t>
          </a:r>
        </a:p>
      </xdr:txBody>
    </xdr:sp>
    <xdr:clientData/>
  </xdr:twoCellAnchor>
  <xdr:twoCellAnchor>
    <xdr:from>
      <xdr:col>24</xdr:col>
      <xdr:colOff>455084</xdr:colOff>
      <xdr:row>17</xdr:row>
      <xdr:rowOff>158751</xdr:rowOff>
    </xdr:from>
    <xdr:to>
      <xdr:col>45</xdr:col>
      <xdr:colOff>578909</xdr:colOff>
      <xdr:row>41</xdr:row>
      <xdr:rowOff>111126</xdr:rowOff>
    </xdr:to>
    <xdr:sp macro="" textlink="">
      <xdr:nvSpPr>
        <xdr:cNvPr id="26" name="Retângulo com Canto Diagonal Aparado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6656917" y="3016251"/>
          <a:ext cx="1965325" cy="904875"/>
        </a:xfrm>
        <a:prstGeom prst="snip2DiagRect">
          <a:avLst/>
        </a:prstGeom>
        <a:solidFill>
          <a:schemeClr val="accent2">
            <a:lumMod val="75000"/>
          </a:schemeClr>
        </a:solidFill>
        <a:ln w="381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Agentes</a:t>
          </a:r>
          <a:r>
            <a:rPr lang="pt-BR" sz="1600" b="1" baseline="0"/>
            <a:t> de Terminais</a:t>
          </a:r>
          <a:endParaRPr lang="pt-BR" sz="1600" b="1"/>
        </a:p>
      </xdr:txBody>
    </xdr:sp>
    <xdr:clientData/>
  </xdr:twoCellAnchor>
  <xdr:twoCellAnchor>
    <xdr:from>
      <xdr:col>45</xdr:col>
      <xdr:colOff>502709</xdr:colOff>
      <xdr:row>13</xdr:row>
      <xdr:rowOff>110070</xdr:rowOff>
    </xdr:from>
    <xdr:to>
      <xdr:col>49</xdr:col>
      <xdr:colOff>12700</xdr:colOff>
      <xdr:row>18</xdr:row>
      <xdr:rowOff>62445</xdr:rowOff>
    </xdr:to>
    <xdr:sp macro="" textlink="">
      <xdr:nvSpPr>
        <xdr:cNvPr id="27" name="Retângulo com Canto Diagonal Aparado 2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8546042" y="2205570"/>
          <a:ext cx="1965325" cy="904875"/>
        </a:xfrm>
        <a:prstGeom prst="snip2DiagRect">
          <a:avLst/>
        </a:prstGeom>
        <a:solidFill>
          <a:schemeClr val="accent6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FFCC"/>
              </a:solidFill>
            </a:rPr>
            <a:t>FISCALIZAÇÃO</a:t>
          </a:r>
          <a:r>
            <a:rPr lang="pt-BR" sz="1800" b="1" baseline="0">
              <a:solidFill>
                <a:srgbClr val="FFFFCC"/>
              </a:solidFill>
            </a:rPr>
            <a:t> SPTRANS</a:t>
          </a:r>
          <a:endParaRPr lang="pt-BR" sz="1800" b="1">
            <a:solidFill>
              <a:srgbClr val="FFFFCC"/>
            </a:solidFill>
          </a:endParaRPr>
        </a:p>
      </xdr:txBody>
    </xdr:sp>
    <xdr:clientData/>
  </xdr:twoCellAnchor>
  <xdr:twoCellAnchor>
    <xdr:from>
      <xdr:col>45</xdr:col>
      <xdr:colOff>404284</xdr:colOff>
      <xdr:row>4</xdr:row>
      <xdr:rowOff>60328</xdr:rowOff>
    </xdr:from>
    <xdr:to>
      <xdr:col>48</xdr:col>
      <xdr:colOff>528109</xdr:colOff>
      <xdr:row>9</xdr:row>
      <xdr:rowOff>12703</xdr:rowOff>
    </xdr:to>
    <xdr:sp macro="" textlink="">
      <xdr:nvSpPr>
        <xdr:cNvPr id="28" name="Retângulo com Canto Diagonal Aparado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8447617" y="441328"/>
          <a:ext cx="1965325" cy="904875"/>
        </a:xfrm>
        <a:prstGeom prst="snip2DiagRect">
          <a:avLst/>
        </a:prstGeom>
        <a:solidFill>
          <a:schemeClr val="accent6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rgbClr val="FFFFCC"/>
              </a:solidFill>
            </a:rPr>
            <a:t>Interferencia</a:t>
          </a:r>
          <a:r>
            <a:rPr lang="pt-BR" sz="2000" b="1" baseline="0">
              <a:solidFill>
                <a:srgbClr val="FFFFCC"/>
              </a:solidFill>
            </a:rPr>
            <a:t> na Via</a:t>
          </a:r>
          <a:endParaRPr lang="pt-BR" sz="2000" b="1">
            <a:solidFill>
              <a:srgbClr val="FFFFCC"/>
            </a:solidFill>
          </a:endParaRPr>
        </a:p>
      </xdr:txBody>
    </xdr:sp>
    <xdr:clientData/>
  </xdr:twoCellAnchor>
  <xdr:twoCellAnchor>
    <xdr:from>
      <xdr:col>24</xdr:col>
      <xdr:colOff>353486</xdr:colOff>
      <xdr:row>8</xdr:row>
      <xdr:rowOff>112185</xdr:rowOff>
    </xdr:from>
    <xdr:to>
      <xdr:col>45</xdr:col>
      <xdr:colOff>477311</xdr:colOff>
      <xdr:row>13</xdr:row>
      <xdr:rowOff>63498</xdr:rowOff>
    </xdr:to>
    <xdr:sp macro="" textlink="">
      <xdr:nvSpPr>
        <xdr:cNvPr id="29" name="Retângulo com Canto Diagonal Aparado 2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6555319" y="1255185"/>
          <a:ext cx="1965325" cy="903813"/>
        </a:xfrm>
        <a:prstGeom prst="snip2DiagRect">
          <a:avLst/>
        </a:prstGeom>
        <a:solidFill>
          <a:schemeClr val="accent2">
            <a:lumMod val="75000"/>
          </a:schemeClr>
        </a:solidFill>
        <a:ln w="381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Acidentes com Relatórios</a:t>
          </a:r>
        </a:p>
      </xdr:txBody>
    </xdr:sp>
    <xdr:clientData/>
  </xdr:twoCellAnchor>
  <xdr:twoCellAnchor>
    <xdr:from>
      <xdr:col>10</xdr:col>
      <xdr:colOff>313267</xdr:colOff>
      <xdr:row>12</xdr:row>
      <xdr:rowOff>170394</xdr:rowOff>
    </xdr:from>
    <xdr:to>
      <xdr:col>24</xdr:col>
      <xdr:colOff>437092</xdr:colOff>
      <xdr:row>17</xdr:row>
      <xdr:rowOff>122769</xdr:rowOff>
    </xdr:to>
    <xdr:sp macro="" textlink="">
      <xdr:nvSpPr>
        <xdr:cNvPr id="30" name="Retângulo com Canto Diagonal Aparado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4673600" y="2075394"/>
          <a:ext cx="1965325" cy="904875"/>
        </a:xfrm>
        <a:prstGeom prst="snip2DiagRect">
          <a:avLst/>
        </a:prstGeom>
        <a:solidFill>
          <a:schemeClr val="accent6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rgbClr val="FFFFCC"/>
              </a:solidFill>
            </a:rPr>
            <a:t>CHECK</a:t>
          </a:r>
          <a:r>
            <a:rPr lang="pt-BR" sz="2000" b="1" baseline="0">
              <a:solidFill>
                <a:srgbClr val="FFFFCC"/>
              </a:solidFill>
            </a:rPr>
            <a:t> - LIST</a:t>
          </a:r>
          <a:endParaRPr lang="pt-BR" sz="2000" b="1">
            <a:solidFill>
              <a:srgbClr val="FFFFCC"/>
            </a:solidFill>
          </a:endParaRPr>
        </a:p>
      </xdr:txBody>
    </xdr:sp>
    <xdr:clientData/>
  </xdr:twoCellAnchor>
  <xdr:twoCellAnchor>
    <xdr:from>
      <xdr:col>48</xdr:col>
      <xdr:colOff>548217</xdr:colOff>
      <xdr:row>9</xdr:row>
      <xdr:rowOff>34929</xdr:rowOff>
    </xdr:from>
    <xdr:to>
      <xdr:col>52</xdr:col>
      <xdr:colOff>58208</xdr:colOff>
      <xdr:row>13</xdr:row>
      <xdr:rowOff>177804</xdr:rowOff>
    </xdr:to>
    <xdr:sp macro="" textlink="">
      <xdr:nvSpPr>
        <xdr:cNvPr id="32" name="Retângulo com Canto Diagonal Aparado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0433050" y="1368429"/>
          <a:ext cx="1965325" cy="904875"/>
        </a:xfrm>
        <a:prstGeom prst="snip2DiagRect">
          <a:avLst/>
        </a:prstGeom>
        <a:solidFill>
          <a:schemeClr val="accent2">
            <a:lumMod val="75000"/>
          </a:schemeClr>
        </a:solidFill>
        <a:ln w="381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Fumaça</a:t>
          </a:r>
        </a:p>
      </xdr:txBody>
    </xdr:sp>
    <xdr:clientData/>
  </xdr:twoCellAnchor>
  <xdr:twoCellAnchor>
    <xdr:from>
      <xdr:col>49</xdr:col>
      <xdr:colOff>24342</xdr:colOff>
      <xdr:row>18</xdr:row>
      <xdr:rowOff>98428</xdr:rowOff>
    </xdr:from>
    <xdr:to>
      <xdr:col>52</xdr:col>
      <xdr:colOff>148167</xdr:colOff>
      <xdr:row>42</xdr:row>
      <xdr:rowOff>50803</xdr:rowOff>
    </xdr:to>
    <xdr:sp macro="" textlink="">
      <xdr:nvSpPr>
        <xdr:cNvPr id="33" name="Retângulo com Canto Diagonal Aparado 3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0523009" y="3146428"/>
          <a:ext cx="1965325" cy="904875"/>
        </a:xfrm>
        <a:prstGeom prst="snip2DiagRect">
          <a:avLst/>
        </a:prstGeom>
        <a:solidFill>
          <a:schemeClr val="accent2">
            <a:lumMod val="75000"/>
          </a:schemeClr>
        </a:solidFill>
        <a:ln w="381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TAPA</a:t>
          </a:r>
          <a:r>
            <a:rPr lang="pt-BR" sz="2000" baseline="0"/>
            <a:t> BURACO</a:t>
          </a:r>
          <a:endParaRPr lang="pt-BR" sz="2000"/>
        </a:p>
      </xdr:txBody>
    </xdr:sp>
    <xdr:clientData/>
  </xdr:twoCellAnchor>
  <xdr:twoCellAnchor>
    <xdr:from>
      <xdr:col>4</xdr:col>
      <xdr:colOff>155571</xdr:colOff>
      <xdr:row>12</xdr:row>
      <xdr:rowOff>45512</xdr:rowOff>
    </xdr:from>
    <xdr:to>
      <xdr:col>7</xdr:col>
      <xdr:colOff>279396</xdr:colOff>
      <xdr:row>16</xdr:row>
      <xdr:rowOff>188387</xdr:rowOff>
    </xdr:to>
    <xdr:sp macro="" textlink="">
      <xdr:nvSpPr>
        <xdr:cNvPr id="15" name="Retângulo com Canto Diagonal Aparado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69404" y="1950512"/>
          <a:ext cx="2028825" cy="904875"/>
        </a:xfrm>
        <a:prstGeom prst="snip2DiagRect">
          <a:avLst/>
        </a:prstGeom>
        <a:solidFill>
          <a:schemeClr val="accent6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pt-BR" sz="2000" b="1">
              <a:solidFill>
                <a:srgbClr val="FFFFCC"/>
              </a:solidFill>
            </a:rPr>
            <a:t>Atrasos de</a:t>
          </a:r>
        </a:p>
        <a:p>
          <a:pPr lvl="0" algn="ctr"/>
          <a:r>
            <a:rPr lang="pt-BR" sz="2000" b="1">
              <a:solidFill>
                <a:srgbClr val="FFFFCC"/>
              </a:solidFill>
            </a:rPr>
            <a:t>Partidas</a:t>
          </a:r>
        </a:p>
      </xdr:txBody>
    </xdr:sp>
    <xdr:clientData/>
  </xdr:twoCellAnchor>
  <xdr:twoCellAnchor>
    <xdr:from>
      <xdr:col>51</xdr:col>
      <xdr:colOff>7410</xdr:colOff>
      <xdr:row>3</xdr:row>
      <xdr:rowOff>62442</xdr:rowOff>
    </xdr:from>
    <xdr:to>
      <xdr:col>54</xdr:col>
      <xdr:colOff>131235</xdr:colOff>
      <xdr:row>8</xdr:row>
      <xdr:rowOff>14817</xdr:rowOff>
    </xdr:to>
    <xdr:sp macro="" textlink="">
      <xdr:nvSpPr>
        <xdr:cNvPr id="19" name="Retângulo com Canto Diagonal Aparad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1733743" y="252942"/>
          <a:ext cx="1965325" cy="904875"/>
        </a:xfrm>
        <a:prstGeom prst="snip2DiagRect">
          <a:avLst/>
        </a:prstGeom>
        <a:solidFill>
          <a:schemeClr val="bg2"/>
        </a:solidFill>
        <a:ln w="381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000"/>
        </a:p>
      </xdr:txBody>
    </xdr:sp>
    <xdr:clientData/>
  </xdr:twoCellAnchor>
  <xdr:oneCellAnchor>
    <xdr:from>
      <xdr:col>50</xdr:col>
      <xdr:colOff>161529</xdr:colOff>
      <xdr:row>4</xdr:row>
      <xdr:rowOff>4234</xdr:rowOff>
    </xdr:from>
    <xdr:ext cx="2481129" cy="843757"/>
    <xdr:sp macro="" textlink="">
      <xdr:nvSpPr>
        <xdr:cNvPr id="5" name="Retângulo 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274029" y="385234"/>
          <a:ext cx="2481129" cy="84375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lvl="1" algn="ctr"/>
          <a:r>
            <a:rPr lang="pt-BR" sz="2800" b="1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Painel</a:t>
          </a:r>
          <a:endParaRPr lang="pt-BR" sz="3200" b="1" cap="none" spc="0">
            <a:ln w="0"/>
            <a:solidFill>
              <a:sysClr val="windowText" lastClr="00000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  <a:p>
          <a:pPr lvl="1" algn="ctr"/>
          <a:endParaRPr lang="pt-BR" sz="2000" b="1" cap="none" spc="0" baseline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45</xdr:col>
      <xdr:colOff>599016</xdr:colOff>
      <xdr:row>41</xdr:row>
      <xdr:rowOff>139701</xdr:rowOff>
    </xdr:from>
    <xdr:to>
      <xdr:col>49</xdr:col>
      <xdr:colOff>109007</xdr:colOff>
      <xdr:row>97</xdr:row>
      <xdr:rowOff>92076</xdr:rowOff>
    </xdr:to>
    <xdr:sp macro="" textlink="">
      <xdr:nvSpPr>
        <xdr:cNvPr id="20" name="Retângulo com Canto Diagonal Aparado 1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642349" y="3949701"/>
          <a:ext cx="1965325" cy="904875"/>
        </a:xfrm>
        <a:prstGeom prst="snip2DiagRect">
          <a:avLst/>
        </a:prstGeom>
        <a:solidFill>
          <a:schemeClr val="accent6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Limpeza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8029574" cy="695325"/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9525"/>
          <a:ext cx="8029574" cy="6953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lvl="0" algn="ctr"/>
          <a:r>
            <a:rPr lang="pt-BR" sz="32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Permanência</a:t>
          </a:r>
        </a:p>
      </xdr:txBody>
    </xdr:sp>
    <xdr:clientData/>
  </xdr:oneCellAnchor>
  <xdr:twoCellAnchor>
    <xdr:from>
      <xdr:col>0</xdr:col>
      <xdr:colOff>9525</xdr:colOff>
      <xdr:row>1</xdr:row>
      <xdr:rowOff>9525</xdr:rowOff>
    </xdr:from>
    <xdr:to>
      <xdr:col>9</xdr:col>
      <xdr:colOff>0</xdr:colOff>
      <xdr:row>1</xdr:row>
      <xdr:rowOff>9525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9525" y="695325"/>
          <a:ext cx="8020050" cy="0"/>
        </a:xfrm>
        <a:prstGeom prst="line">
          <a:avLst/>
        </a:prstGeom>
        <a:ln w="28575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561975</xdr:colOff>
      <xdr:row>0</xdr:row>
      <xdr:rowOff>28576</xdr:rowOff>
    </xdr:from>
    <xdr:to>
      <xdr:col>8</xdr:col>
      <xdr:colOff>1140994</xdr:colOff>
      <xdr:row>0</xdr:row>
      <xdr:rowOff>657225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3175" y="28576"/>
          <a:ext cx="579019" cy="6286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40773</xdr:rowOff>
    </xdr:from>
    <xdr:ext cx="9172575" cy="655885"/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0" y="40773"/>
          <a:ext cx="9172575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lvl="0" algn="ctr"/>
          <a:r>
            <a:rPr lang="pt-BR" sz="3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Orientação aos Operadores</a:t>
          </a:r>
        </a:p>
      </xdr:txBody>
    </xdr:sp>
    <xdr:clientData/>
  </xdr:oneCellAnchor>
  <xdr:twoCellAnchor>
    <xdr:from>
      <xdr:col>0</xdr:col>
      <xdr:colOff>0</xdr:colOff>
      <xdr:row>0</xdr:row>
      <xdr:rowOff>695325</xdr:rowOff>
    </xdr:from>
    <xdr:to>
      <xdr:col>8</xdr:col>
      <xdr:colOff>0</xdr:colOff>
      <xdr:row>0</xdr:row>
      <xdr:rowOff>695325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0" y="695325"/>
          <a:ext cx="9172575" cy="0"/>
        </a:xfrm>
        <a:prstGeom prst="line">
          <a:avLst/>
        </a:prstGeom>
        <a:ln w="28575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</xdr:colOff>
      <xdr:row>0</xdr:row>
      <xdr:rowOff>28575</xdr:rowOff>
    </xdr:from>
    <xdr:ext cx="6962775" cy="638175"/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525" y="28575"/>
          <a:ext cx="6962775" cy="6381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lvl="0" algn="ctr"/>
          <a:r>
            <a:rPr lang="pt-BR" sz="3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Comunicado de Infração</a:t>
          </a:r>
        </a:p>
      </xdr:txBody>
    </xdr:sp>
    <xdr:clientData/>
  </xdr:oneCellAnchor>
  <xdr:twoCellAnchor>
    <xdr:from>
      <xdr:col>0</xdr:col>
      <xdr:colOff>0</xdr:colOff>
      <xdr:row>0</xdr:row>
      <xdr:rowOff>762000</xdr:rowOff>
    </xdr:from>
    <xdr:to>
      <xdr:col>7</xdr:col>
      <xdr:colOff>0</xdr:colOff>
      <xdr:row>0</xdr:row>
      <xdr:rowOff>762000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0" y="762000"/>
          <a:ext cx="6981825" cy="0"/>
        </a:xfrm>
        <a:prstGeom prst="line">
          <a:avLst/>
        </a:prstGeom>
        <a:ln w="28575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525040</xdr:colOff>
      <xdr:row>0</xdr:row>
      <xdr:rowOff>76199</xdr:rowOff>
    </xdr:from>
    <xdr:to>
      <xdr:col>10</xdr:col>
      <xdr:colOff>627862</xdr:colOff>
      <xdr:row>0</xdr:row>
      <xdr:rowOff>398594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11640" y="76199"/>
          <a:ext cx="674322" cy="322395"/>
        </a:xfrm>
        <a:prstGeom prst="rect">
          <a:avLst/>
        </a:prstGeom>
      </xdr:spPr>
    </xdr:pic>
    <xdr:clientData/>
  </xdr:twoCellAnchor>
  <xdr:twoCellAnchor>
    <xdr:from>
      <xdr:col>0</xdr:col>
      <xdr:colOff>9525</xdr:colOff>
      <xdr:row>1</xdr:row>
      <xdr:rowOff>238125</xdr:rowOff>
    </xdr:from>
    <xdr:to>
      <xdr:col>11</xdr:col>
      <xdr:colOff>0</xdr:colOff>
      <xdr:row>1</xdr:row>
      <xdr:rowOff>238125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9525" y="485775"/>
          <a:ext cx="5895975" cy="0"/>
        </a:xfrm>
        <a:prstGeom prst="line">
          <a:avLst/>
        </a:prstGeom>
        <a:ln w="28575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228600</xdr:colOff>
      <xdr:row>0</xdr:row>
      <xdr:rowOff>28575</xdr:rowOff>
    </xdr:from>
    <xdr:to>
      <xdr:col>1</xdr:col>
      <xdr:colOff>164521</xdr:colOff>
      <xdr:row>1</xdr:row>
      <xdr:rowOff>212146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28575"/>
          <a:ext cx="650296" cy="6502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258050" cy="657224"/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0" y="0"/>
          <a:ext cx="7258050" cy="657224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lvl="1" algn="r"/>
          <a:r>
            <a:rPr lang="pt-BR" sz="3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Interferencia ou Desvio</a:t>
          </a:r>
          <a:r>
            <a:rPr lang="pt-BR" sz="3600" b="1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de Itinerario</a:t>
          </a:r>
          <a:endParaRPr lang="pt-BR" sz="36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</xdr:rowOff>
    </xdr:from>
    <xdr:ext cx="5962650" cy="715708"/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0" y="1"/>
          <a:ext cx="5962650" cy="715708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Fumaça</a:t>
          </a:r>
        </a:p>
      </xdr:txBody>
    </xdr:sp>
    <xdr:clientData/>
  </xdr:oneCellAnchor>
  <xdr:twoCellAnchor>
    <xdr:from>
      <xdr:col>0</xdr:col>
      <xdr:colOff>0</xdr:colOff>
      <xdr:row>0</xdr:row>
      <xdr:rowOff>676275</xdr:rowOff>
    </xdr:from>
    <xdr:to>
      <xdr:col>5</xdr:col>
      <xdr:colOff>9525</xdr:colOff>
      <xdr:row>0</xdr:row>
      <xdr:rowOff>676275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0" y="676275"/>
          <a:ext cx="4486275" cy="0"/>
        </a:xfrm>
        <a:prstGeom prst="line">
          <a:avLst/>
        </a:prstGeom>
        <a:ln w="28575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0</xdr:row>
      <xdr:rowOff>0</xdr:rowOff>
    </xdr:from>
    <xdr:ext cx="7581900" cy="473489"/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0" y="0"/>
          <a:ext cx="7581900" cy="473489"/>
        </a:xfrm>
        <a:prstGeom prst="rect">
          <a:avLst/>
        </a:prstGeom>
        <a:noFill/>
      </xdr:spPr>
      <xdr:txBody>
        <a:bodyPr wrap="none" lIns="91440" tIns="45720" rIns="91440" bIns="45720" anchor="t">
          <a:noAutofit/>
        </a:bodyPr>
        <a:lstStyle/>
        <a:p>
          <a:pPr lvl="0" algn="ctr"/>
          <a:r>
            <a:rPr lang="pt-BR" sz="40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Atrasos de</a:t>
          </a:r>
          <a:r>
            <a:rPr lang="pt-BR" sz="4000" b="1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Partidas</a:t>
          </a:r>
          <a:endParaRPr lang="pt-BR" sz="40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7</xdr:col>
      <xdr:colOff>0</xdr:colOff>
      <xdr:row>0</xdr:row>
      <xdr:rowOff>676275</xdr:rowOff>
    </xdr:from>
    <xdr:to>
      <xdr:col>16</xdr:col>
      <xdr:colOff>9525</xdr:colOff>
      <xdr:row>1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CxnSpPr/>
      </xdr:nvCxnSpPr>
      <xdr:spPr>
        <a:xfrm flipV="1">
          <a:off x="0" y="676275"/>
          <a:ext cx="5838825" cy="9525"/>
        </a:xfrm>
        <a:prstGeom prst="line">
          <a:avLst/>
        </a:prstGeom>
        <a:ln w="28575">
          <a:solidFill>
            <a:schemeClr val="bg1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0</xdr:row>
      <xdr:rowOff>0</xdr:rowOff>
    </xdr:from>
    <xdr:ext cx="7924799" cy="123824"/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9050" y="0"/>
          <a:ext cx="7924799" cy="123824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lvl="0" algn="ctr"/>
          <a:r>
            <a:rPr lang="pt-BR" sz="40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Perdas de Partidas</a:t>
          </a:r>
        </a:p>
      </xdr:txBody>
    </xdr:sp>
    <xdr:clientData/>
  </xdr:oneCellAnchor>
  <xdr:twoCellAnchor>
    <xdr:from>
      <xdr:col>0</xdr:col>
      <xdr:colOff>0</xdr:colOff>
      <xdr:row>0</xdr:row>
      <xdr:rowOff>676275</xdr:rowOff>
    </xdr:from>
    <xdr:to>
      <xdr:col>8</xdr:col>
      <xdr:colOff>0</xdr:colOff>
      <xdr:row>0</xdr:row>
      <xdr:rowOff>676275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CxnSpPr/>
      </xdr:nvCxnSpPr>
      <xdr:spPr>
        <a:xfrm>
          <a:off x="0" y="676275"/>
          <a:ext cx="7934325" cy="0"/>
        </a:xfrm>
        <a:prstGeom prst="line">
          <a:avLst/>
        </a:prstGeom>
        <a:ln w="28575">
          <a:solidFill>
            <a:schemeClr val="bg1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5</xdr:row>
      <xdr:rowOff>0</xdr:rowOff>
    </xdr:from>
    <xdr:to>
      <xdr:col>12</xdr:col>
      <xdr:colOff>451249</xdr:colOff>
      <xdr:row>9</xdr:row>
      <xdr:rowOff>36645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952500"/>
          <a:ext cx="1670449" cy="79864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</xdr:rowOff>
    </xdr:from>
    <xdr:ext cx="7088800" cy="66674"/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0" y="1"/>
          <a:ext cx="7088800" cy="66674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lvl="0" algn="ctr"/>
          <a:r>
            <a:rPr lang="pt-BR" sz="40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Faltas ou Dispensa Fiscal</a:t>
          </a:r>
        </a:p>
      </xdr:txBody>
    </xdr:sp>
    <xdr:clientData/>
  </xdr:oneCellAnchor>
  <xdr:twoCellAnchor>
    <xdr:from>
      <xdr:col>0</xdr:col>
      <xdr:colOff>19050</xdr:colOff>
      <xdr:row>1</xdr:row>
      <xdr:rowOff>0</xdr:rowOff>
    </xdr:from>
    <xdr:to>
      <xdr:col>7</xdr:col>
      <xdr:colOff>9525</xdr:colOff>
      <xdr:row>1</xdr:row>
      <xdr:rowOff>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CxnSpPr/>
      </xdr:nvCxnSpPr>
      <xdr:spPr>
        <a:xfrm>
          <a:off x="19050" y="685800"/>
          <a:ext cx="7096125" cy="0"/>
        </a:xfrm>
        <a:prstGeom prst="line">
          <a:avLst/>
        </a:prstGeom>
        <a:ln w="28575">
          <a:solidFill>
            <a:schemeClr val="bg1"/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153232</xdr:colOff>
      <xdr:row>0</xdr:row>
      <xdr:rowOff>171450</xdr:rowOff>
    </xdr:from>
    <xdr:ext cx="4798942" cy="221809"/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239082" y="171450"/>
          <a:ext cx="4798942" cy="221809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pt-BR" sz="4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Fiscalização SPTrans</a:t>
          </a:r>
        </a:p>
      </xdr:txBody>
    </xdr:sp>
    <xdr:clientData/>
  </xdr:oneCellAnchor>
  <xdr:twoCellAnchor>
    <xdr:from>
      <xdr:col>0</xdr:col>
      <xdr:colOff>0</xdr:colOff>
      <xdr:row>0</xdr:row>
      <xdr:rowOff>657225</xdr:rowOff>
    </xdr:from>
    <xdr:to>
      <xdr:col>8</xdr:col>
      <xdr:colOff>0</xdr:colOff>
      <xdr:row>0</xdr:row>
      <xdr:rowOff>666750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CxnSpPr/>
      </xdr:nvCxnSpPr>
      <xdr:spPr>
        <a:xfrm>
          <a:off x="0" y="657225"/>
          <a:ext cx="7581900" cy="9525"/>
        </a:xfrm>
        <a:prstGeom prst="line">
          <a:avLst/>
        </a:prstGeom>
        <a:ln w="28575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7</xdr:row>
      <xdr:rowOff>0</xdr:rowOff>
    </xdr:from>
    <xdr:to>
      <xdr:col>11</xdr:col>
      <xdr:colOff>451249</xdr:colOff>
      <xdr:row>11</xdr:row>
      <xdr:rowOff>36645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6400" y="1333500"/>
          <a:ext cx="1670449" cy="79864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11</xdr:col>
      <xdr:colOff>451249</xdr:colOff>
      <xdr:row>10</xdr:row>
      <xdr:rowOff>36645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486400" y="1143000"/>
          <a:ext cx="1670449" cy="798645"/>
        </a:xfrm>
        <a:prstGeom prst="rect">
          <a:avLst/>
        </a:prstGeom>
      </xdr:spPr>
    </xdr:pic>
    <xdr:clientData/>
  </xdr:twoCellAnchor>
  <xdr:twoCellAnchor editAs="oneCell">
    <xdr:from>
      <xdr:col>4</xdr:col>
      <xdr:colOff>66676</xdr:colOff>
      <xdr:row>5</xdr:row>
      <xdr:rowOff>85725</xdr:rowOff>
    </xdr:from>
    <xdr:to>
      <xdr:col>5</xdr:col>
      <xdr:colOff>533401</xdr:colOff>
      <xdr:row>11</xdr:row>
      <xdr:rowOff>19050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5076" y="1038225"/>
          <a:ext cx="1076325" cy="107632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4229100" cy="285750"/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0" y="0"/>
          <a:ext cx="4229100" cy="2857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2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Limpeza dos Ônibus</a:t>
          </a:r>
        </a:p>
      </xdr:txBody>
    </xdr:sp>
    <xdr:clientData/>
  </xdr:oneCellAnchor>
  <xdr:twoCellAnchor>
    <xdr:from>
      <xdr:col>0</xdr:col>
      <xdr:colOff>19050</xdr:colOff>
      <xdr:row>0</xdr:row>
      <xdr:rowOff>676275</xdr:rowOff>
    </xdr:from>
    <xdr:to>
      <xdr:col>5</xdr:col>
      <xdr:colOff>0</xdr:colOff>
      <xdr:row>1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CxnSpPr/>
      </xdr:nvCxnSpPr>
      <xdr:spPr>
        <a:xfrm flipV="1">
          <a:off x="19050" y="676275"/>
          <a:ext cx="4200525" cy="9525"/>
        </a:xfrm>
        <a:prstGeom prst="line">
          <a:avLst/>
        </a:prstGeom>
        <a:ln w="38100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344124</xdr:colOff>
      <xdr:row>0</xdr:row>
      <xdr:rowOff>0</xdr:rowOff>
    </xdr:from>
    <xdr:ext cx="6312626" cy="498034"/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344124" y="0"/>
          <a:ext cx="6312626" cy="498034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lvl="1" algn="ctr"/>
          <a:r>
            <a:rPr lang="pt-BR" sz="4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Solicitação de Tapa Buraco</a:t>
          </a:r>
        </a:p>
      </xdr:txBody>
    </xdr:sp>
    <xdr:clientData/>
  </xdr:oneCellAnchor>
  <xdr:twoCellAnchor>
    <xdr:from>
      <xdr:col>0</xdr:col>
      <xdr:colOff>0</xdr:colOff>
      <xdr:row>0</xdr:row>
      <xdr:rowOff>657225</xdr:rowOff>
    </xdr:from>
    <xdr:to>
      <xdr:col>6</xdr:col>
      <xdr:colOff>0</xdr:colOff>
      <xdr:row>1</xdr:row>
      <xdr:rowOff>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CxnSpPr/>
      </xdr:nvCxnSpPr>
      <xdr:spPr>
        <a:xfrm flipV="1">
          <a:off x="0" y="657225"/>
          <a:ext cx="7210425" cy="28575"/>
        </a:xfrm>
        <a:prstGeom prst="line">
          <a:avLst/>
        </a:prstGeom>
        <a:ln w="28575"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 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 /><Relationship Id="rId1" Type="http://schemas.openxmlformats.org/officeDocument/2006/relationships/printerSettings" Target="../printerSettings/printerSettings1.bin" 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 /><Relationship Id="rId1" Type="http://schemas.openxmlformats.org/officeDocument/2006/relationships/printerSettings" Target="../printerSettings/printerSettings2.bin" 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 /><Relationship Id="rId1" Type="http://schemas.openxmlformats.org/officeDocument/2006/relationships/printerSettings" Target="../printerSettings/printerSettings3.bin" 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 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 /><Relationship Id="rId1" Type="http://schemas.openxmlformats.org/officeDocument/2006/relationships/printerSettings" Target="../printerSettings/printerSettings4.bin" 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 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 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 /><Relationship Id="rId1" Type="http://schemas.openxmlformats.org/officeDocument/2006/relationships/printerSettings" Target="../printerSettings/printerSettings5.bin" 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 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 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 /><Relationship Id="rId1" Type="http://schemas.openxmlformats.org/officeDocument/2006/relationships/printerSettings" Target="../printerSettings/printerSettings6.bin" 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 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 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 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 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 /><Relationship Id="rId1" Type="http://schemas.openxmlformats.org/officeDocument/2006/relationships/printerSettings" Target="../printerSettings/printerSettings7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"/>
  <sheetViews>
    <sheetView showGridLines="0" showRowColHeaders="0" workbookViewId="0" xr3:uid="{AEA406A1-0E4B-5B11-9CD5-51D6E497D94C}">
      <selection sqref="A1:K1"/>
    </sheetView>
  </sheetViews>
  <sheetFormatPr defaultColWidth="0" defaultRowHeight="15" x14ac:dyDescent="0.2"/>
  <cols>
    <col min="1" max="1" width="11.1640625" customWidth="1"/>
    <col min="2" max="2" width="10.625" customWidth="1"/>
    <col min="3" max="9" width="9.14453125" customWidth="1"/>
    <col min="10" max="10" width="11.1640625" customWidth="1"/>
    <col min="11" max="11" width="11.56640625" customWidth="1"/>
    <col min="12" max="16384" width="9.14453125" hidden="1"/>
  </cols>
  <sheetData>
    <row r="1" spans="1:11" ht="119.25" customHeight="1" x14ac:dyDescent="0.2">
      <c r="A1" s="55" t="s">
        <v>238</v>
      </c>
      <c r="B1" s="56"/>
      <c r="C1" s="56"/>
      <c r="D1" s="56"/>
      <c r="E1" s="56"/>
      <c r="F1" s="56"/>
      <c r="G1" s="56"/>
      <c r="H1" s="56"/>
      <c r="I1" s="56"/>
      <c r="J1" s="56"/>
      <c r="K1" s="56"/>
    </row>
  </sheetData>
  <mergeCells count="1">
    <mergeCell ref="A1:K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  <pageSetUpPr autoPageBreaks="0"/>
  </sheetPr>
  <dimension ref="A1:BF218"/>
  <sheetViews>
    <sheetView showGridLines="0" showRowColHeaders="0" tabSelected="1" topLeftCell="I1" zoomScale="90" zoomScaleNormal="90" workbookViewId="0" xr3:uid="{958C4451-9541-5A59-BF78-D2F731DF1C81}"/>
  </sheetViews>
  <sheetFormatPr defaultColWidth="9.14453125" defaultRowHeight="15" x14ac:dyDescent="0.2"/>
  <cols>
    <col min="1" max="3" width="0" style="2" hidden="1" customWidth="1"/>
    <col min="4" max="6" width="9.14453125" style="2"/>
    <col min="7" max="7" width="10.0859375" style="2" customWidth="1"/>
    <col min="8" max="9" width="9.14453125" style="2"/>
    <col min="10" max="12" width="9.14453125" style="2" customWidth="1"/>
    <col min="13" max="16" width="9.14453125" style="2" hidden="1" customWidth="1"/>
    <col min="17" max="23" width="0" style="2" hidden="1" customWidth="1"/>
    <col min="24" max="25" width="9.14453125" style="2"/>
    <col min="26" max="26" width="9.14453125" style="3"/>
    <col min="27" max="44" width="0" style="3" hidden="1" customWidth="1"/>
    <col min="45" max="16384" width="9.14453125" style="3"/>
  </cols>
  <sheetData>
    <row r="1" spans="4:58" hidden="1" x14ac:dyDescent="0.2"/>
    <row r="2" spans="4:58" hidden="1" x14ac:dyDescent="0.2"/>
    <row r="3" spans="4:58" x14ac:dyDescent="0.2"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/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</row>
    <row r="4" spans="4:58" x14ac:dyDescent="0.2"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</row>
    <row r="5" spans="4:58" x14ac:dyDescent="0.2"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</row>
    <row r="6" spans="4:58" x14ac:dyDescent="0.2"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</row>
    <row r="7" spans="4:58" x14ac:dyDescent="0.2"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</row>
    <row r="8" spans="4:58" ht="15" customHeight="1" x14ac:dyDescent="0.2"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</row>
    <row r="9" spans="4:58" ht="15" customHeight="1" x14ac:dyDescent="0.2"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</row>
    <row r="10" spans="4:58" ht="15" customHeight="1" x14ac:dyDescent="0.2"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7"/>
      <c r="AT10" s="57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</row>
    <row r="11" spans="4:58" ht="15" customHeight="1" x14ac:dyDescent="0.2"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</row>
    <row r="12" spans="4:58" ht="15" customHeight="1" x14ac:dyDescent="0.2"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</row>
    <row r="13" spans="4:58" ht="15" customHeight="1" x14ac:dyDescent="0.2"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</row>
    <row r="14" spans="4:58" ht="15" customHeight="1" x14ac:dyDescent="0.2"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</row>
    <row r="15" spans="4:58" ht="15" customHeight="1" x14ac:dyDescent="0.2"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</row>
    <row r="16" spans="4:58" ht="15" customHeight="1" x14ac:dyDescent="0.2"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</row>
    <row r="17" spans="4:58" ht="15" customHeight="1" x14ac:dyDescent="0.2"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</row>
    <row r="18" spans="4:58" ht="15" customHeight="1" x14ac:dyDescent="0.2"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</row>
    <row r="19" spans="4:58" ht="15" customHeight="1" x14ac:dyDescent="0.2"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</row>
    <row r="20" spans="4:58" ht="15" customHeight="1" x14ac:dyDescent="0.2"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</row>
    <row r="21" spans="4:58" ht="15" customHeight="1" x14ac:dyDescent="0.2"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</row>
    <row r="22" spans="4:58" ht="15" hidden="1" customHeight="1" x14ac:dyDescent="0.2"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</row>
    <row r="23" spans="4:58" ht="15" hidden="1" customHeight="1" x14ac:dyDescent="0.2">
      <c r="D23" s="58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</row>
    <row r="24" spans="4:58" ht="15" hidden="1" customHeight="1" x14ac:dyDescent="0.2"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</row>
    <row r="25" spans="4:58" ht="15" hidden="1" customHeight="1" x14ac:dyDescent="0.2"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</row>
    <row r="26" spans="4:58" ht="15" hidden="1" customHeight="1" x14ac:dyDescent="0.2"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</row>
    <row r="27" spans="4:58" ht="15" hidden="1" customHeight="1" x14ac:dyDescent="0.2"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</row>
    <row r="28" spans="4:58" ht="15" hidden="1" customHeight="1" x14ac:dyDescent="0.2"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</row>
    <row r="29" spans="4:58" ht="15" hidden="1" customHeight="1" x14ac:dyDescent="0.2"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</row>
    <row r="30" spans="4:58" ht="15" hidden="1" customHeight="1" x14ac:dyDescent="0.2"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</row>
    <row r="31" spans="4:58" ht="15" hidden="1" customHeight="1" x14ac:dyDescent="0.2"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</row>
    <row r="32" spans="4:58" ht="15" hidden="1" customHeight="1" x14ac:dyDescent="0.2"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</row>
    <row r="33" spans="4:58" ht="15" hidden="1" customHeight="1" x14ac:dyDescent="0.2"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</row>
    <row r="34" spans="4:58" ht="15" hidden="1" customHeight="1" x14ac:dyDescent="0.2"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</row>
    <row r="35" spans="4:58" ht="15" hidden="1" customHeight="1" x14ac:dyDescent="0.2"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</row>
    <row r="36" spans="4:58" ht="15" hidden="1" customHeight="1" x14ac:dyDescent="0.2"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</row>
    <row r="37" spans="4:58" ht="15" hidden="1" customHeight="1" x14ac:dyDescent="0.2"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</row>
    <row r="38" spans="4:58" ht="15" hidden="1" customHeight="1" x14ac:dyDescent="0.2"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</row>
    <row r="39" spans="4:58" ht="15" hidden="1" customHeight="1" x14ac:dyDescent="0.2"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</row>
    <row r="40" spans="4:58" ht="15" hidden="1" customHeight="1" x14ac:dyDescent="0.2"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</row>
    <row r="41" spans="4:58" x14ac:dyDescent="0.2"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</row>
    <row r="42" spans="4:58" x14ac:dyDescent="0.2"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</row>
    <row r="43" spans="4:58" x14ac:dyDescent="0.2"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</row>
    <row r="44" spans="4:58" x14ac:dyDescent="0.2"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</row>
    <row r="45" spans="4:58" ht="15" hidden="1" customHeight="1" x14ac:dyDescent="0.2"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</row>
    <row r="46" spans="4:58" ht="15" hidden="1" customHeight="1" x14ac:dyDescent="0.2"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</row>
    <row r="47" spans="4:58" ht="15" hidden="1" customHeight="1" x14ac:dyDescent="0.2"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</row>
    <row r="48" spans="4:58" ht="15" hidden="1" customHeight="1" x14ac:dyDescent="0.2"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</row>
    <row r="49" spans="4:58" ht="15" hidden="1" customHeight="1" x14ac:dyDescent="0.2"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</row>
    <row r="50" spans="4:58" ht="15" hidden="1" customHeight="1" x14ac:dyDescent="0.2"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</row>
    <row r="51" spans="4:58" ht="15" hidden="1" customHeight="1" x14ac:dyDescent="0.2"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7"/>
      <c r="AT51" s="57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</row>
    <row r="52" spans="4:58" ht="15" hidden="1" customHeight="1" x14ac:dyDescent="0.2"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7"/>
      <c r="AT52" s="57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</row>
    <row r="53" spans="4:58" ht="15" hidden="1" customHeight="1" x14ac:dyDescent="0.2"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</row>
    <row r="54" spans="4:58" ht="15" hidden="1" customHeight="1" x14ac:dyDescent="0.2"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</row>
    <row r="55" spans="4:58" ht="15" hidden="1" customHeight="1" x14ac:dyDescent="0.2"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</row>
    <row r="56" spans="4:58" ht="15" hidden="1" customHeight="1" x14ac:dyDescent="0.2"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</row>
    <row r="57" spans="4:58" ht="15" hidden="1" customHeight="1" x14ac:dyDescent="0.2"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7"/>
      <c r="AT57" s="57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</row>
    <row r="58" spans="4:58" ht="15" hidden="1" customHeight="1" x14ac:dyDescent="0.2"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</row>
    <row r="59" spans="4:58" ht="15" hidden="1" customHeight="1" x14ac:dyDescent="0.2"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</row>
    <row r="60" spans="4:58" ht="15" hidden="1" customHeight="1" x14ac:dyDescent="0.2"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</row>
    <row r="61" spans="4:58" ht="15" hidden="1" customHeight="1" x14ac:dyDescent="0.2"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</row>
    <row r="62" spans="4:58" ht="15" hidden="1" customHeight="1" x14ac:dyDescent="0.2"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</row>
    <row r="63" spans="4:58" ht="15" hidden="1" customHeight="1" x14ac:dyDescent="0.2"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</row>
    <row r="64" spans="4:58" ht="15" hidden="1" customHeight="1" x14ac:dyDescent="0.2"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7"/>
      <c r="AT64" s="57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</row>
    <row r="65" spans="4:58" ht="15" hidden="1" customHeight="1" x14ac:dyDescent="0.2"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</row>
    <row r="66" spans="4:58" ht="15" hidden="1" customHeight="1" x14ac:dyDescent="0.2"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</row>
    <row r="67" spans="4:58" ht="15" hidden="1" customHeight="1" x14ac:dyDescent="0.2"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</row>
    <row r="68" spans="4:58" ht="15" hidden="1" customHeight="1" x14ac:dyDescent="0.2"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</row>
    <row r="69" spans="4:58" ht="15" hidden="1" customHeight="1" x14ac:dyDescent="0.2"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7"/>
      <c r="AT69" s="57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</row>
    <row r="70" spans="4:58" ht="15" hidden="1" customHeight="1" x14ac:dyDescent="0.2"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7"/>
      <c r="AT70" s="57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</row>
    <row r="71" spans="4:58" ht="15" hidden="1" customHeight="1" x14ac:dyDescent="0.2"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</row>
    <row r="72" spans="4:58" ht="15" hidden="1" customHeight="1" x14ac:dyDescent="0.2"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</row>
    <row r="73" spans="4:58" ht="15" hidden="1" customHeight="1" x14ac:dyDescent="0.2"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</row>
    <row r="74" spans="4:58" ht="15" hidden="1" customHeight="1" x14ac:dyDescent="0.2"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</row>
    <row r="75" spans="4:58" ht="15" hidden="1" customHeight="1" x14ac:dyDescent="0.2"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7"/>
      <c r="AT75" s="57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</row>
    <row r="76" spans="4:58" ht="15" hidden="1" customHeight="1" x14ac:dyDescent="0.2"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7"/>
      <c r="AT76" s="57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</row>
    <row r="77" spans="4:58" ht="15" hidden="1" customHeight="1" x14ac:dyDescent="0.2"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</row>
    <row r="78" spans="4:58" ht="15" hidden="1" customHeight="1" x14ac:dyDescent="0.2"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</row>
    <row r="79" spans="4:58" ht="15" hidden="1" customHeight="1" x14ac:dyDescent="0.2"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</row>
    <row r="80" spans="4:58" ht="15" hidden="1" customHeight="1" x14ac:dyDescent="0.2"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</row>
    <row r="81" spans="4:58" ht="15" hidden="1" customHeight="1" x14ac:dyDescent="0.2"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7"/>
      <c r="AT81" s="57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</row>
    <row r="82" spans="4:58" ht="15" hidden="1" customHeight="1" x14ac:dyDescent="0.2"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7"/>
      <c r="AT82" s="57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</row>
    <row r="83" spans="4:58" ht="15" hidden="1" customHeight="1" x14ac:dyDescent="0.2"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</row>
    <row r="84" spans="4:58" ht="15" hidden="1" customHeight="1" x14ac:dyDescent="0.2"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7"/>
      <c r="AT84" s="57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</row>
    <row r="85" spans="4:58" ht="15" hidden="1" customHeight="1" x14ac:dyDescent="0.2"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</row>
    <row r="86" spans="4:58" ht="15" hidden="1" customHeight="1" x14ac:dyDescent="0.2"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</row>
    <row r="87" spans="4:58" ht="15" hidden="1" customHeight="1" x14ac:dyDescent="0.2"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7"/>
      <c r="AT87" s="57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</row>
    <row r="88" spans="4:58" ht="15" hidden="1" customHeight="1" x14ac:dyDescent="0.2"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7"/>
      <c r="AT88" s="57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</row>
    <row r="89" spans="4:58" ht="15" hidden="1" customHeight="1" x14ac:dyDescent="0.2"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7"/>
      <c r="AT89" s="57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</row>
    <row r="90" spans="4:58" ht="15" hidden="1" customHeight="1" x14ac:dyDescent="0.2"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7"/>
      <c r="AT90" s="57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</row>
    <row r="91" spans="4:58" ht="15" hidden="1" customHeight="1" x14ac:dyDescent="0.2"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</row>
    <row r="92" spans="4:58" ht="15" hidden="1" customHeight="1" x14ac:dyDescent="0.2"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</row>
    <row r="93" spans="4:58" ht="15" hidden="1" customHeight="1" x14ac:dyDescent="0.2"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7"/>
      <c r="AT93" s="57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</row>
    <row r="94" spans="4:58" ht="15" hidden="1" customHeight="1" x14ac:dyDescent="0.2"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7"/>
      <c r="AT94" s="57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</row>
    <row r="95" spans="4:58" ht="15" hidden="1" customHeight="1" x14ac:dyDescent="0.2"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</row>
    <row r="96" spans="4:58" x14ac:dyDescent="0.2"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</row>
    <row r="97" spans="4:58" x14ac:dyDescent="0.2"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</row>
    <row r="98" spans="4:58" x14ac:dyDescent="0.2"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</row>
    <row r="99" spans="4:58" x14ac:dyDescent="0.2"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7"/>
      <c r="AT99" s="57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</row>
    <row r="100" spans="4:58" x14ac:dyDescent="0.2"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</row>
    <row r="101" spans="4:58" x14ac:dyDescent="0.2"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</row>
    <row r="102" spans="4:58" x14ac:dyDescent="0.2"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7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</row>
    <row r="103" spans="4:58" x14ac:dyDescent="0.2"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7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</row>
    <row r="104" spans="4:58" x14ac:dyDescent="0.2"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7"/>
      <c r="AT104" s="57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</row>
    <row r="105" spans="4:58" x14ac:dyDescent="0.2"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7"/>
      <c r="AT105" s="57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</row>
    <row r="106" spans="4:58" x14ac:dyDescent="0.2"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7"/>
      <c r="AT106" s="57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</row>
    <row r="107" spans="4:58" x14ac:dyDescent="0.2"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7"/>
      <c r="AT107" s="57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</row>
    <row r="108" spans="4:58" x14ac:dyDescent="0.2"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7"/>
      <c r="AT108" s="57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</row>
    <row r="109" spans="4:58" x14ac:dyDescent="0.2"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7"/>
      <c r="AT109" s="57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</row>
    <row r="110" spans="4:58" x14ac:dyDescent="0.2"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7"/>
      <c r="AT110" s="57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</row>
    <row r="111" spans="4:58" x14ac:dyDescent="0.2"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7"/>
      <c r="AT111" s="57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</row>
    <row r="112" spans="4:58" x14ac:dyDescent="0.2"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7"/>
      <c r="AT112" s="57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</row>
    <row r="113" spans="4:58" x14ac:dyDescent="0.2"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</row>
    <row r="114" spans="4:58" x14ac:dyDescent="0.2"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7"/>
      <c r="AT114" s="57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</row>
    <row r="115" spans="4:58" x14ac:dyDescent="0.2"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7"/>
      <c r="AT115" s="57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</row>
    <row r="116" spans="4:58" x14ac:dyDescent="0.2"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7"/>
      <c r="AT116" s="57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</row>
    <row r="117" spans="4:58" x14ac:dyDescent="0.2"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7"/>
      <c r="AT117" s="57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</row>
    <row r="118" spans="4:58" x14ac:dyDescent="0.2"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7"/>
      <c r="AT118" s="57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</row>
    <row r="119" spans="4:58" x14ac:dyDescent="0.2"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7"/>
      <c r="AT119" s="57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</row>
    <row r="120" spans="4:58" x14ac:dyDescent="0.2"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7"/>
      <c r="AT120" s="57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</row>
    <row r="121" spans="4:58" x14ac:dyDescent="0.2"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7"/>
      <c r="AT121" s="57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</row>
    <row r="122" spans="4:58" x14ac:dyDescent="0.2"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7"/>
      <c r="AT122" s="57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</row>
    <row r="123" spans="4:58" x14ac:dyDescent="0.2"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7"/>
      <c r="AT123" s="57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</row>
    <row r="124" spans="4:58" x14ac:dyDescent="0.2"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7"/>
      <c r="AT124" s="57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</row>
    <row r="125" spans="4:58" x14ac:dyDescent="0.2"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</row>
    <row r="126" spans="4:58" x14ac:dyDescent="0.2"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7"/>
      <c r="AT126" s="57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</row>
    <row r="127" spans="4:58" x14ac:dyDescent="0.2"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7"/>
      <c r="AT127" s="57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</row>
    <row r="128" spans="4:58" x14ac:dyDescent="0.2"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7"/>
      <c r="AT128" s="57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</row>
    <row r="129" spans="4:58" x14ac:dyDescent="0.2"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7"/>
      <c r="AT129" s="57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</row>
    <row r="130" spans="4:58" x14ac:dyDescent="0.2"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7"/>
      <c r="AT130" s="57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</row>
    <row r="131" spans="4:58" x14ac:dyDescent="0.2"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7"/>
      <c r="AT131" s="57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</row>
    <row r="132" spans="4:58" x14ac:dyDescent="0.2"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7"/>
      <c r="AT132" s="57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</row>
    <row r="133" spans="4:58" x14ac:dyDescent="0.2"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7"/>
      <c r="AT133" s="57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</row>
    <row r="134" spans="4:58" x14ac:dyDescent="0.2"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7"/>
      <c r="AT134" s="57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</row>
    <row r="135" spans="4:58" x14ac:dyDescent="0.2"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7"/>
      <c r="AT135" s="57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</row>
    <row r="136" spans="4:58" x14ac:dyDescent="0.2"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7"/>
      <c r="AT136" s="57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</row>
    <row r="137" spans="4:58" x14ac:dyDescent="0.2"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7"/>
      <c r="AT137" s="57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</row>
    <row r="138" spans="4:58" x14ac:dyDescent="0.2"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7"/>
      <c r="AT138" s="57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</row>
    <row r="139" spans="4:58" x14ac:dyDescent="0.2"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7"/>
      <c r="AT139" s="57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</row>
    <row r="140" spans="4:58" x14ac:dyDescent="0.2"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7"/>
      <c r="AT140" s="57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</row>
    <row r="141" spans="4:58" x14ac:dyDescent="0.2"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7"/>
      <c r="AT141" s="57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</row>
    <row r="142" spans="4:58" x14ac:dyDescent="0.2"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7"/>
      <c r="AT142" s="57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</row>
    <row r="143" spans="4:58" x14ac:dyDescent="0.2"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7"/>
      <c r="AT143" s="57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</row>
    <row r="144" spans="4:58" x14ac:dyDescent="0.2"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7"/>
      <c r="AT144" s="57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</row>
    <row r="145" spans="4:58" x14ac:dyDescent="0.2"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7"/>
      <c r="AT145" s="57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</row>
    <row r="146" spans="4:58" x14ac:dyDescent="0.2"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7"/>
      <c r="AT146" s="57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</row>
    <row r="147" spans="4:58" x14ac:dyDescent="0.2"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7"/>
      <c r="AT147" s="57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</row>
    <row r="148" spans="4:58" x14ac:dyDescent="0.2"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7"/>
      <c r="AT148" s="57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</row>
    <row r="149" spans="4:58" x14ac:dyDescent="0.2"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7"/>
      <c r="AT149" s="57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</row>
    <row r="150" spans="4:58" x14ac:dyDescent="0.2"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7"/>
      <c r="AT150" s="57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</row>
    <row r="151" spans="4:58" x14ac:dyDescent="0.2"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7"/>
      <c r="AT151" s="57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</row>
    <row r="152" spans="4:58" x14ac:dyDescent="0.2"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7"/>
      <c r="AT152" s="57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</row>
    <row r="153" spans="4:58" x14ac:dyDescent="0.2"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7"/>
      <c r="AT153" s="57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</row>
    <row r="154" spans="4:58" x14ac:dyDescent="0.2"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7"/>
      <c r="AT154" s="57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</row>
    <row r="155" spans="4:58" x14ac:dyDescent="0.2"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</row>
    <row r="156" spans="4:58" x14ac:dyDescent="0.2"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7"/>
      <c r="AT156" s="57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</row>
    <row r="157" spans="4:58" x14ac:dyDescent="0.2"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7"/>
      <c r="AT157" s="57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</row>
    <row r="158" spans="4:58" x14ac:dyDescent="0.2"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7"/>
      <c r="AT158" s="57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</row>
    <row r="159" spans="4:58" x14ac:dyDescent="0.2"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7"/>
      <c r="AT159" s="57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</row>
    <row r="160" spans="4:58" x14ac:dyDescent="0.2"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7"/>
      <c r="AT160" s="57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</row>
    <row r="161" spans="4:58" x14ac:dyDescent="0.2"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7"/>
      <c r="AT161" s="57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</row>
    <row r="162" spans="4:58" x14ac:dyDescent="0.2"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7"/>
      <c r="AT162" s="57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</row>
    <row r="163" spans="4:58" x14ac:dyDescent="0.2"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7"/>
      <c r="AT163" s="57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</row>
    <row r="164" spans="4:58" x14ac:dyDescent="0.2"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7"/>
      <c r="AT164" s="57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</row>
    <row r="165" spans="4:58" x14ac:dyDescent="0.2"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7"/>
      <c r="AT165" s="57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</row>
    <row r="166" spans="4:58" x14ac:dyDescent="0.2"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7"/>
      <c r="AT166" s="57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</row>
    <row r="167" spans="4:58" x14ac:dyDescent="0.2"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7"/>
      <c r="AT167" s="57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</row>
    <row r="168" spans="4:58" x14ac:dyDescent="0.2"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7"/>
      <c r="AT168" s="57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</row>
    <row r="169" spans="4:58" x14ac:dyDescent="0.2"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7"/>
      <c r="AT169" s="57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</row>
    <row r="170" spans="4:58" x14ac:dyDescent="0.2"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7"/>
      <c r="AT170" s="57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</row>
    <row r="171" spans="4:58" x14ac:dyDescent="0.2"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7"/>
      <c r="AT171" s="57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</row>
    <row r="172" spans="4:58" x14ac:dyDescent="0.2"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7"/>
      <c r="AT172" s="57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</row>
    <row r="173" spans="4:58" x14ac:dyDescent="0.2"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7"/>
      <c r="AT173" s="57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</row>
    <row r="174" spans="4:58" x14ac:dyDescent="0.2"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7"/>
      <c r="AT174" s="57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</row>
    <row r="175" spans="4:58" x14ac:dyDescent="0.2"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7"/>
      <c r="AT175" s="57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</row>
    <row r="176" spans="4:58" x14ac:dyDescent="0.2"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7"/>
      <c r="AT176" s="57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</row>
    <row r="177" spans="4:58" x14ac:dyDescent="0.2"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7"/>
      <c r="AT177" s="57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</row>
    <row r="178" spans="4:58" x14ac:dyDescent="0.2"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7"/>
      <c r="AT178" s="57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</row>
    <row r="179" spans="4:58" x14ac:dyDescent="0.2"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7"/>
      <c r="AT179" s="57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</row>
    <row r="180" spans="4:58" x14ac:dyDescent="0.2"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7"/>
      <c r="AT180" s="57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</row>
    <row r="181" spans="4:58" x14ac:dyDescent="0.2"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7"/>
      <c r="AT181" s="57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</row>
    <row r="182" spans="4:58" x14ac:dyDescent="0.2"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7"/>
      <c r="AT182" s="57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</row>
    <row r="183" spans="4:58" x14ac:dyDescent="0.2"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7"/>
      <c r="AT183" s="57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</row>
    <row r="184" spans="4:58" x14ac:dyDescent="0.2"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7"/>
      <c r="AT184" s="57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</row>
    <row r="185" spans="4:58" x14ac:dyDescent="0.2"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7"/>
      <c r="AT185" s="57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</row>
    <row r="186" spans="4:58" x14ac:dyDescent="0.2"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7"/>
      <c r="AT186" s="57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</row>
    <row r="187" spans="4:58" x14ac:dyDescent="0.2"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7"/>
      <c r="AT187" s="57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</row>
    <row r="188" spans="4:58" x14ac:dyDescent="0.2"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7"/>
      <c r="AT188" s="57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</row>
    <row r="189" spans="4:58" x14ac:dyDescent="0.2"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7"/>
      <c r="AT189" s="57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</row>
    <row r="190" spans="4:58" x14ac:dyDescent="0.2"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7"/>
      <c r="AT190" s="57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</row>
    <row r="191" spans="4:58" x14ac:dyDescent="0.2"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7"/>
      <c r="AT191" s="57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</row>
    <row r="192" spans="4:58" x14ac:dyDescent="0.2"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7"/>
      <c r="AT192" s="57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</row>
    <row r="193" spans="4:58" x14ac:dyDescent="0.2"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7"/>
      <c r="AT193" s="57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</row>
    <row r="194" spans="4:58" x14ac:dyDescent="0.2"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7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</row>
    <row r="195" spans="4:58" x14ac:dyDescent="0.2"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7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</row>
    <row r="196" spans="4:58" x14ac:dyDescent="0.2"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7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</row>
    <row r="197" spans="4:58" x14ac:dyDescent="0.2"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7"/>
      <c r="AT197" s="57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</row>
    <row r="198" spans="4:58" x14ac:dyDescent="0.2"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7"/>
      <c r="AT198" s="57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</row>
    <row r="199" spans="4:58" x14ac:dyDescent="0.2"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7"/>
      <c r="AT199" s="57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</row>
    <row r="200" spans="4:58" x14ac:dyDescent="0.2"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7"/>
      <c r="AT200" s="57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</row>
    <row r="201" spans="4:58" x14ac:dyDescent="0.2"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7"/>
      <c r="AT201" s="57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</row>
    <row r="202" spans="4:58" x14ac:dyDescent="0.2"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7"/>
      <c r="AT202" s="57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</row>
    <row r="203" spans="4:58" x14ac:dyDescent="0.2"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7"/>
      <c r="AT203" s="57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</row>
    <row r="204" spans="4:58" x14ac:dyDescent="0.2"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7"/>
      <c r="AT204" s="57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</row>
    <row r="205" spans="4:58" x14ac:dyDescent="0.2"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7"/>
      <c r="AT205" s="57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</row>
    <row r="206" spans="4:58" x14ac:dyDescent="0.2"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7"/>
      <c r="AT206" s="57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</row>
    <row r="207" spans="4:58" x14ac:dyDescent="0.2"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7"/>
      <c r="AT207" s="57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</row>
    <row r="208" spans="4:58" x14ac:dyDescent="0.2"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7"/>
      <c r="AT208" s="57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</row>
    <row r="209" spans="4:58" x14ac:dyDescent="0.2"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7"/>
      <c r="AT209" s="57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</row>
    <row r="210" spans="4:58" x14ac:dyDescent="0.2"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7"/>
      <c r="AT210" s="57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</row>
    <row r="211" spans="4:58" x14ac:dyDescent="0.2"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7"/>
      <c r="AT211" s="57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</row>
    <row r="212" spans="4:58" x14ac:dyDescent="0.2"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7"/>
      <c r="AT212" s="57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</row>
    <row r="213" spans="4:58" x14ac:dyDescent="0.2"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7"/>
      <c r="AT213" s="57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</row>
    <row r="214" spans="4:58" x14ac:dyDescent="0.2"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7"/>
      <c r="AT214" s="57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</row>
    <row r="215" spans="4:58" x14ac:dyDescent="0.2"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7"/>
      <c r="AT215" s="57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</row>
    <row r="216" spans="4:58" x14ac:dyDescent="0.2"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7"/>
      <c r="AT216" s="57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</row>
    <row r="217" spans="4:58" x14ac:dyDescent="0.2"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7"/>
      <c r="AT217" s="57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</row>
    <row r="218" spans="4:58" x14ac:dyDescent="0.2">
      <c r="H218" s="2" t="s">
        <v>237</v>
      </c>
    </row>
  </sheetData>
  <mergeCells count="1">
    <mergeCell ref="D3:BF217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N22"/>
  <sheetViews>
    <sheetView showGridLines="0" showRowColHeaders="0" zoomScaleNormal="100" workbookViewId="0" xr3:uid="{842E5F09-E766-5B8D-85AF-A39847EA96FD}">
      <selection sqref="A1:I1"/>
    </sheetView>
  </sheetViews>
  <sheetFormatPr defaultColWidth="0" defaultRowHeight="15" zeroHeight="1" x14ac:dyDescent="0.2"/>
  <cols>
    <col min="1" max="1" width="10.625" style="10" customWidth="1"/>
    <col min="2" max="2" width="6.9921875" style="10" customWidth="1"/>
    <col min="3" max="3" width="5.51171875" style="6" customWidth="1"/>
    <col min="4" max="4" width="10.76171875" style="6" customWidth="1"/>
    <col min="5" max="5" width="29.59375" customWidth="1"/>
    <col min="6" max="6" width="22.46484375" customWidth="1"/>
    <col min="7" max="7" width="15.73828125" style="6" customWidth="1"/>
    <col min="8" max="8" width="7.26171875" style="6" customWidth="1"/>
    <col min="9" max="9" width="19.50390625" style="7" customWidth="1"/>
    <col min="10" max="12" width="9.14453125" hidden="1" customWidth="1"/>
    <col min="13" max="14" width="0" hidden="1" customWidth="1"/>
    <col min="15" max="16384" width="9.14453125" hidden="1"/>
  </cols>
  <sheetData>
    <row r="1" spans="1:9" ht="54" customHeight="1" x14ac:dyDescent="0.2">
      <c r="A1" s="59"/>
      <c r="B1" s="60"/>
      <c r="C1" s="60"/>
      <c r="D1" s="60"/>
      <c r="E1" s="60"/>
      <c r="F1" s="60"/>
      <c r="G1" s="60"/>
      <c r="H1" s="60"/>
      <c r="I1" s="61"/>
    </row>
    <row r="2" spans="1:9" s="12" customFormat="1" ht="27.75" customHeight="1" x14ac:dyDescent="0.2">
      <c r="A2" s="19" t="s">
        <v>1</v>
      </c>
      <c r="B2" s="19" t="s">
        <v>18</v>
      </c>
      <c r="C2" s="19" t="s">
        <v>19</v>
      </c>
      <c r="D2" s="19" t="s">
        <v>20</v>
      </c>
      <c r="E2" s="19" t="s">
        <v>15</v>
      </c>
      <c r="F2" s="19" t="s">
        <v>164</v>
      </c>
      <c r="G2" s="19" t="s">
        <v>16</v>
      </c>
      <c r="H2" s="19" t="s">
        <v>9</v>
      </c>
      <c r="I2" s="19" t="s">
        <v>21</v>
      </c>
    </row>
    <row r="3" spans="1:9" x14ac:dyDescent="0.2">
      <c r="A3" s="9">
        <v>43283</v>
      </c>
      <c r="B3" s="38">
        <v>0.28819444444444448</v>
      </c>
      <c r="C3" s="38">
        <v>0.3347222222222222</v>
      </c>
      <c r="D3" s="17">
        <f>C3-B3</f>
        <v>4.6527777777777724E-2</v>
      </c>
      <c r="E3" t="s">
        <v>162</v>
      </c>
      <c r="F3" t="s">
        <v>165</v>
      </c>
      <c r="G3" t="s">
        <v>163</v>
      </c>
      <c r="H3" s="14">
        <v>5</v>
      </c>
      <c r="I3" s="15">
        <v>5</v>
      </c>
    </row>
    <row r="4" spans="1:9" x14ac:dyDescent="0.2">
      <c r="A4" s="9"/>
      <c r="B4" s="16"/>
      <c r="C4" s="17"/>
      <c r="D4" s="17">
        <f>C4-B4</f>
        <v>0</v>
      </c>
      <c r="G4" s="14"/>
      <c r="H4" s="14"/>
      <c r="I4" s="15"/>
    </row>
    <row r="5" spans="1:9" x14ac:dyDescent="0.2">
      <c r="A5" s="9"/>
      <c r="B5" s="16"/>
      <c r="C5" s="17"/>
      <c r="D5" s="17">
        <f>C5-B5</f>
        <v>0</v>
      </c>
      <c r="G5" s="14"/>
      <c r="H5" s="14"/>
      <c r="I5" s="15"/>
    </row>
    <row r="6" spans="1:9" x14ac:dyDescent="0.2"/>
    <row r="7" spans="1:9" x14ac:dyDescent="0.2"/>
    <row r="8" spans="1:9" x14ac:dyDescent="0.2"/>
    <row r="9" spans="1:9" x14ac:dyDescent="0.2"/>
    <row r="10" spans="1:9" x14ac:dyDescent="0.2"/>
    <row r="11" spans="1:9" x14ac:dyDescent="0.2"/>
    <row r="12" spans="1:9" x14ac:dyDescent="0.2"/>
    <row r="13" spans="1:9" x14ac:dyDescent="0.2"/>
    <row r="14" spans="1:9" x14ac:dyDescent="0.2"/>
    <row r="15" spans="1:9" x14ac:dyDescent="0.2"/>
    <row r="16" spans="1:9" x14ac:dyDescent="0.2"/>
    <row r="17" spans="5:5" x14ac:dyDescent="0.2"/>
    <row r="18" spans="5:5" x14ac:dyDescent="0.2"/>
    <row r="19" spans="5:5" x14ac:dyDescent="0.2"/>
    <row r="20" spans="5:5" x14ac:dyDescent="0.2"/>
    <row r="21" spans="5:5" x14ac:dyDescent="0.2"/>
    <row r="22" spans="5:5" ht="18.75" x14ac:dyDescent="0.25">
      <c r="E22" s="4"/>
    </row>
  </sheetData>
  <sortState xmlns:xlrd2="http://schemas.microsoft.com/office/spreadsheetml/2017/richdata2" ref="A3:M5">
    <sortCondition ref="A3"/>
  </sortState>
  <mergeCells count="1">
    <mergeCell ref="A1:I1"/>
  </mergeCells>
  <printOptions horizontalCentered="1"/>
  <pageMargins left="0" right="0" top="0.35433070866141736" bottom="0.55118110236220474" header="0.19685039370078741" footer="0.11811023622047245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Dados!$D$2:$D$8</xm:f>
          </x14:formula1>
          <xm:sqref>H3:H5 G4:G5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>
    <tabColor theme="5" tint="0.39997558519241921"/>
  </sheetPr>
  <dimension ref="A1:H24"/>
  <sheetViews>
    <sheetView showGridLines="0" showRowColHeaders="0" workbookViewId="0" xr3:uid="{51F8DEE0-4D01-5F28-A812-FC0BD7CAC4A5}">
      <selection sqref="A1:H1"/>
    </sheetView>
  </sheetViews>
  <sheetFormatPr defaultColWidth="0" defaultRowHeight="15" x14ac:dyDescent="0.2"/>
  <cols>
    <col min="1" max="1" width="10.76171875" customWidth="1"/>
    <col min="2" max="2" width="9.81640625" customWidth="1"/>
    <col min="3" max="3" width="19.50390625" customWidth="1"/>
    <col min="4" max="4" width="7.80078125" customWidth="1"/>
    <col min="5" max="5" width="18.6953125" customWidth="1"/>
    <col min="6" max="6" width="9.55078125" style="6" customWidth="1"/>
    <col min="7" max="7" width="59.86328125" customWidth="1"/>
    <col min="8" max="8" width="9.14453125" style="6" customWidth="1"/>
    <col min="9" max="16384" width="9.14453125" hidden="1"/>
  </cols>
  <sheetData>
    <row r="1" spans="1:8" ht="54" customHeight="1" x14ac:dyDescent="0.2">
      <c r="A1" s="62"/>
      <c r="B1" s="63"/>
      <c r="C1" s="63"/>
      <c r="D1" s="63"/>
      <c r="E1" s="63"/>
      <c r="F1" s="63"/>
      <c r="G1" s="63"/>
      <c r="H1" s="64"/>
    </row>
    <row r="2" spans="1:8" s="13" customFormat="1" ht="27.75" customHeight="1" x14ac:dyDescent="0.2">
      <c r="A2" s="19" t="s">
        <v>1</v>
      </c>
      <c r="B2" s="19" t="s">
        <v>2</v>
      </c>
      <c r="C2" s="19" t="s">
        <v>3</v>
      </c>
      <c r="D2" s="19" t="s">
        <v>10</v>
      </c>
      <c r="E2" s="19" t="s">
        <v>4</v>
      </c>
      <c r="F2" s="19" t="s">
        <v>24</v>
      </c>
      <c r="G2" s="19" t="s">
        <v>5</v>
      </c>
      <c r="H2" s="19" t="s">
        <v>29</v>
      </c>
    </row>
    <row r="3" spans="1:8" x14ac:dyDescent="0.2">
      <c r="A3" s="8">
        <v>43283</v>
      </c>
      <c r="B3" t="s">
        <v>22</v>
      </c>
      <c r="C3" t="s">
        <v>111</v>
      </c>
      <c r="D3" t="s">
        <v>86</v>
      </c>
      <c r="E3" t="s">
        <v>170</v>
      </c>
      <c r="G3" t="s">
        <v>193</v>
      </c>
      <c r="H3" s="6">
        <v>21</v>
      </c>
    </row>
    <row r="4" spans="1:8" x14ac:dyDescent="0.2">
      <c r="A4" s="8">
        <v>43283</v>
      </c>
      <c r="B4" t="s">
        <v>22</v>
      </c>
      <c r="C4" t="s">
        <v>70</v>
      </c>
      <c r="D4" t="s">
        <v>93</v>
      </c>
      <c r="E4" t="s">
        <v>170</v>
      </c>
      <c r="G4" t="s">
        <v>194</v>
      </c>
      <c r="H4" s="6">
        <v>11</v>
      </c>
    </row>
    <row r="5" spans="1:8" x14ac:dyDescent="0.2">
      <c r="A5" s="8">
        <v>43283</v>
      </c>
      <c r="B5" t="s">
        <v>22</v>
      </c>
      <c r="C5" t="s">
        <v>70</v>
      </c>
      <c r="D5" t="s">
        <v>92</v>
      </c>
      <c r="E5" t="s">
        <v>170</v>
      </c>
      <c r="G5" t="s">
        <v>194</v>
      </c>
      <c r="H5" s="6">
        <v>11</v>
      </c>
    </row>
    <row r="6" spans="1:8" x14ac:dyDescent="0.2">
      <c r="A6" s="8">
        <v>43283</v>
      </c>
      <c r="B6" t="s">
        <v>22</v>
      </c>
      <c r="C6" t="s">
        <v>70</v>
      </c>
      <c r="D6" t="s">
        <v>84</v>
      </c>
      <c r="E6" t="s">
        <v>170</v>
      </c>
      <c r="G6" t="s">
        <v>194</v>
      </c>
      <c r="H6" s="6">
        <v>11</v>
      </c>
    </row>
    <row r="7" spans="1:8" x14ac:dyDescent="0.2">
      <c r="A7" s="8">
        <v>43283</v>
      </c>
      <c r="B7" t="s">
        <v>22</v>
      </c>
      <c r="C7" t="s">
        <v>72</v>
      </c>
      <c r="D7" t="s">
        <v>88</v>
      </c>
      <c r="E7" t="s">
        <v>170</v>
      </c>
      <c r="G7" t="s">
        <v>194</v>
      </c>
      <c r="H7" s="6">
        <v>11</v>
      </c>
    </row>
    <row r="8" spans="1:8" x14ac:dyDescent="0.2">
      <c r="A8" s="8">
        <v>43283</v>
      </c>
      <c r="B8" t="s">
        <v>22</v>
      </c>
      <c r="C8" t="s">
        <v>72</v>
      </c>
      <c r="D8" t="s">
        <v>89</v>
      </c>
      <c r="E8" t="s">
        <v>170</v>
      </c>
      <c r="G8" t="s">
        <v>194</v>
      </c>
      <c r="H8" s="6">
        <v>11</v>
      </c>
    </row>
    <row r="9" spans="1:8" x14ac:dyDescent="0.2">
      <c r="A9" s="8">
        <v>43283</v>
      </c>
      <c r="B9" t="s">
        <v>22</v>
      </c>
      <c r="C9" t="s">
        <v>72</v>
      </c>
      <c r="D9" t="s">
        <v>87</v>
      </c>
      <c r="E9" t="s">
        <v>170</v>
      </c>
      <c r="G9" t="s">
        <v>194</v>
      </c>
      <c r="H9" s="6">
        <v>11</v>
      </c>
    </row>
    <row r="10" spans="1:8" x14ac:dyDescent="0.2">
      <c r="A10" s="8">
        <v>43283</v>
      </c>
      <c r="B10" t="s">
        <v>22</v>
      </c>
      <c r="C10" t="s">
        <v>111</v>
      </c>
      <c r="D10" t="s">
        <v>86</v>
      </c>
      <c r="E10" t="s">
        <v>170</v>
      </c>
      <c r="G10" t="s">
        <v>194</v>
      </c>
      <c r="H10" s="6">
        <v>11</v>
      </c>
    </row>
    <row r="11" spans="1:8" x14ac:dyDescent="0.2">
      <c r="A11" s="8">
        <v>43283</v>
      </c>
      <c r="B11" t="s">
        <v>22</v>
      </c>
      <c r="C11" t="s">
        <v>71</v>
      </c>
      <c r="D11" t="s">
        <v>90</v>
      </c>
      <c r="E11" t="s">
        <v>170</v>
      </c>
      <c r="G11" t="s">
        <v>194</v>
      </c>
      <c r="H11" s="6">
        <v>11</v>
      </c>
    </row>
    <row r="12" spans="1:8" x14ac:dyDescent="0.2">
      <c r="A12" s="8">
        <v>43283</v>
      </c>
      <c r="B12" t="s">
        <v>22</v>
      </c>
      <c r="C12" t="s">
        <v>71</v>
      </c>
      <c r="D12" t="s">
        <v>91</v>
      </c>
      <c r="E12" t="s">
        <v>170</v>
      </c>
      <c r="G12" t="s">
        <v>194</v>
      </c>
      <c r="H12" s="6">
        <v>11</v>
      </c>
    </row>
    <row r="13" spans="1:8" x14ac:dyDescent="0.2">
      <c r="A13" s="8">
        <v>43283</v>
      </c>
      <c r="B13" t="s">
        <v>22</v>
      </c>
      <c r="C13" t="s">
        <v>73</v>
      </c>
      <c r="D13" t="s">
        <v>83</v>
      </c>
      <c r="E13" t="s">
        <v>170</v>
      </c>
      <c r="G13" t="s">
        <v>194</v>
      </c>
      <c r="H13" s="6">
        <v>11</v>
      </c>
    </row>
    <row r="14" spans="1:8" x14ac:dyDescent="0.2">
      <c r="A14" s="8">
        <v>43283</v>
      </c>
      <c r="B14" t="s">
        <v>22</v>
      </c>
      <c r="C14" t="s">
        <v>73</v>
      </c>
      <c r="D14" t="s">
        <v>94</v>
      </c>
      <c r="E14" t="s">
        <v>170</v>
      </c>
      <c r="G14" t="s">
        <v>194</v>
      </c>
      <c r="H14" s="6">
        <v>11</v>
      </c>
    </row>
    <row r="15" spans="1:8" x14ac:dyDescent="0.2">
      <c r="A15" s="8">
        <v>43283</v>
      </c>
      <c r="B15" t="s">
        <v>22</v>
      </c>
      <c r="C15" t="s">
        <v>71</v>
      </c>
      <c r="D15" t="s">
        <v>96</v>
      </c>
      <c r="E15" t="s">
        <v>170</v>
      </c>
      <c r="G15" t="s">
        <v>194</v>
      </c>
      <c r="H15" s="6">
        <v>11</v>
      </c>
    </row>
    <row r="16" spans="1:8" x14ac:dyDescent="0.2">
      <c r="A16" s="8">
        <v>43283</v>
      </c>
      <c r="B16" t="s">
        <v>22</v>
      </c>
      <c r="C16" t="s">
        <v>74</v>
      </c>
      <c r="D16" t="s">
        <v>95</v>
      </c>
      <c r="E16" t="s">
        <v>170</v>
      </c>
      <c r="G16" t="s">
        <v>194</v>
      </c>
      <c r="H16" s="6">
        <v>11</v>
      </c>
    </row>
    <row r="17" spans="1:8" x14ac:dyDescent="0.2">
      <c r="A17" s="8">
        <v>43283</v>
      </c>
      <c r="B17" t="s">
        <v>22</v>
      </c>
      <c r="C17" t="s">
        <v>74</v>
      </c>
      <c r="D17" t="s">
        <v>82</v>
      </c>
      <c r="E17" t="s">
        <v>170</v>
      </c>
      <c r="G17" t="s">
        <v>194</v>
      </c>
      <c r="H17" s="6">
        <v>11</v>
      </c>
    </row>
    <row r="18" spans="1:8" x14ac:dyDescent="0.2">
      <c r="A18" s="8">
        <v>43283</v>
      </c>
      <c r="B18" t="s">
        <v>22</v>
      </c>
      <c r="C18" t="s">
        <v>69</v>
      </c>
      <c r="D18" t="s">
        <v>85</v>
      </c>
      <c r="E18" t="s">
        <v>170</v>
      </c>
      <c r="G18" t="s">
        <v>194</v>
      </c>
      <c r="H18" s="6">
        <v>11</v>
      </c>
    </row>
    <row r="24" spans="1:8" ht="18.75" x14ac:dyDescent="0.25">
      <c r="E24" s="4"/>
      <c r="F24" s="18"/>
    </row>
  </sheetData>
  <mergeCells count="1">
    <mergeCell ref="A1:H1"/>
  </mergeCells>
  <printOptions horizontalCentered="1"/>
  <pageMargins left="0" right="0" top="0.74803149606299213" bottom="0" header="0" footer="0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Dados!$B$2:$B$4</xm:f>
          </x14:formula1>
          <xm:sqref>B1:B1048576</xm:sqref>
        </x14:dataValidation>
        <x14:dataValidation type="list" allowBlank="1" showInputMessage="1" showErrorMessage="1" xr:uid="{00000000-0002-0000-0300-000001000000}">
          <x14:formula1>
            <xm:f>Dados!$I$2:$I$15</xm:f>
          </x14:formula1>
          <xm:sqref>C1:C1048576</xm:sqref>
        </x14:dataValidation>
        <x14:dataValidation type="list" allowBlank="1" showInputMessage="1" showErrorMessage="1" xr:uid="{00000000-0002-0000-0300-000002000000}">
          <x14:formula1>
            <xm:f>Dados!$J$2:$J$27</xm:f>
          </x14:formula1>
          <xm:sqref>D1:D1048576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"/>
  <dimension ref="A1:G26"/>
  <sheetViews>
    <sheetView showGridLines="0" showRowColHeaders="0" workbookViewId="0" xr3:uid="{F9CF3CF3-643B-5BE6-8B46-32C596A47465}">
      <selection sqref="A1:G1"/>
    </sheetView>
  </sheetViews>
  <sheetFormatPr defaultColWidth="0" defaultRowHeight="15" zeroHeight="1" x14ac:dyDescent="0.2"/>
  <cols>
    <col min="1" max="1" width="10.76171875" style="10" customWidth="1"/>
    <col min="2" max="2" width="7.93359375" style="10" customWidth="1"/>
    <col min="3" max="3" width="14.796875" customWidth="1"/>
    <col min="4" max="4" width="9.81640625" customWidth="1"/>
    <col min="5" max="5" width="10.89453125" customWidth="1"/>
    <col min="6" max="6" width="55.5546875" customWidth="1"/>
    <col min="7" max="7" width="7.26171875" style="7" customWidth="1"/>
    <col min="8" max="16384" width="9.14453125" hidden="1"/>
  </cols>
  <sheetData>
    <row r="1" spans="1:7" ht="54" customHeight="1" x14ac:dyDescent="0.2">
      <c r="A1" s="65"/>
      <c r="B1" s="65"/>
      <c r="C1" s="65"/>
      <c r="D1" s="65"/>
      <c r="E1" s="65"/>
      <c r="F1" s="65"/>
      <c r="G1" s="65"/>
    </row>
    <row r="2" spans="1:7" s="7" customFormat="1" ht="27.75" customHeight="1" x14ac:dyDescent="0.2">
      <c r="A2" s="19" t="s">
        <v>1</v>
      </c>
      <c r="B2" s="19" t="s">
        <v>10</v>
      </c>
      <c r="C2" s="19" t="s">
        <v>6</v>
      </c>
      <c r="D2" s="19" t="s">
        <v>2</v>
      </c>
      <c r="E2" s="19" t="s">
        <v>7</v>
      </c>
      <c r="F2" s="19" t="s">
        <v>8</v>
      </c>
      <c r="G2" s="19" t="s">
        <v>9</v>
      </c>
    </row>
    <row r="3" spans="1:7" x14ac:dyDescent="0.2">
      <c r="A3" s="9">
        <v>43283</v>
      </c>
      <c r="B3" s="9" t="s">
        <v>157</v>
      </c>
      <c r="C3" t="s">
        <v>60</v>
      </c>
      <c r="D3" t="s">
        <v>22</v>
      </c>
      <c r="E3" t="s">
        <v>67</v>
      </c>
      <c r="F3" t="s">
        <v>126</v>
      </c>
      <c r="G3" s="7">
        <v>5</v>
      </c>
    </row>
    <row r="4" spans="1:7" x14ac:dyDescent="0.2">
      <c r="A4" s="9">
        <v>43283</v>
      </c>
      <c r="B4" s="9" t="s">
        <v>82</v>
      </c>
      <c r="C4" t="s">
        <v>60</v>
      </c>
      <c r="D4" t="s">
        <v>22</v>
      </c>
      <c r="E4" t="s">
        <v>112</v>
      </c>
      <c r="F4" t="s">
        <v>126</v>
      </c>
      <c r="G4" s="7">
        <v>5</v>
      </c>
    </row>
    <row r="5" spans="1:7" x14ac:dyDescent="0.2">
      <c r="A5" s="9">
        <v>43283</v>
      </c>
      <c r="B5" s="9" t="s">
        <v>85</v>
      </c>
      <c r="C5" t="s">
        <v>60</v>
      </c>
      <c r="D5" t="s">
        <v>22</v>
      </c>
      <c r="E5" t="s">
        <v>112</v>
      </c>
      <c r="F5" t="s">
        <v>158</v>
      </c>
      <c r="G5" s="7">
        <v>5</v>
      </c>
    </row>
    <row r="6" spans="1:7" x14ac:dyDescent="0.2">
      <c r="A6" s="9">
        <v>43283</v>
      </c>
      <c r="B6" s="9" t="s">
        <v>159</v>
      </c>
      <c r="C6" t="s">
        <v>61</v>
      </c>
      <c r="D6" t="s">
        <v>22</v>
      </c>
      <c r="E6" t="s">
        <v>68</v>
      </c>
      <c r="F6" t="s">
        <v>160</v>
      </c>
      <c r="G6" s="7">
        <v>5</v>
      </c>
    </row>
    <row r="7" spans="1:7" x14ac:dyDescent="0.2">
      <c r="A7" s="9">
        <v>43283</v>
      </c>
      <c r="B7" s="9" t="s">
        <v>82</v>
      </c>
      <c r="C7" t="s">
        <v>61</v>
      </c>
      <c r="D7" t="s">
        <v>22</v>
      </c>
      <c r="E7" t="s">
        <v>67</v>
      </c>
      <c r="F7" t="s">
        <v>161</v>
      </c>
    </row>
    <row r="8" spans="1:7" x14ac:dyDescent="0.2">
      <c r="A8" s="9">
        <v>43420</v>
      </c>
      <c r="B8" s="9"/>
    </row>
    <row r="9" spans="1:7" x14ac:dyDescent="0.2"/>
    <row r="10" spans="1:7" x14ac:dyDescent="0.2"/>
    <row r="11" spans="1:7" x14ac:dyDescent="0.2"/>
    <row r="12" spans="1:7" x14ac:dyDescent="0.2"/>
    <row r="13" spans="1:7" x14ac:dyDescent="0.2"/>
    <row r="14" spans="1:7" x14ac:dyDescent="0.2"/>
    <row r="15" spans="1:7" x14ac:dyDescent="0.2"/>
    <row r="16" spans="1:7" x14ac:dyDescent="0.2"/>
    <row r="17" spans="5:5" x14ac:dyDescent="0.2"/>
    <row r="18" spans="5:5" x14ac:dyDescent="0.2"/>
    <row r="19" spans="5:5" x14ac:dyDescent="0.2"/>
    <row r="20" spans="5:5" x14ac:dyDescent="0.2"/>
    <row r="21" spans="5:5" x14ac:dyDescent="0.2"/>
    <row r="22" spans="5:5" x14ac:dyDescent="0.2"/>
    <row r="23" spans="5:5" x14ac:dyDescent="0.2"/>
    <row r="24" spans="5:5" ht="18.75" x14ac:dyDescent="0.25">
      <c r="E24" s="4"/>
    </row>
    <row r="25" spans="5:5" x14ac:dyDescent="0.2"/>
    <row r="26" spans="5:5" x14ac:dyDescent="0.2"/>
  </sheetData>
  <mergeCells count="1">
    <mergeCell ref="A1:G1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400-000000000000}">
          <x14:formula1>
            <xm:f>Dados!$A$2:$A$8</xm:f>
          </x14:formula1>
          <xm:sqref>C1:C1048576</xm:sqref>
        </x14:dataValidation>
        <x14:dataValidation type="list" allowBlank="1" showInputMessage="1" showErrorMessage="1" xr:uid="{00000000-0002-0000-0400-000001000000}">
          <x14:formula1>
            <xm:f>Dados!$C$2:$C$4</xm:f>
          </x14:formula1>
          <xm:sqref>E1:E1048576</xm:sqref>
        </x14:dataValidation>
        <x14:dataValidation type="list" allowBlank="1" showInputMessage="1" showErrorMessage="1" xr:uid="{00000000-0002-0000-0400-000002000000}">
          <x14:formula1>
            <xm:f>Dados!$B$2:$B$4</xm:f>
          </x14:formula1>
          <xm:sqref>D1:D1048576</xm:sqref>
        </x14:dataValidation>
        <x14:dataValidation type="list" allowBlank="1" showInputMessage="1" showErrorMessage="1" xr:uid="{00000000-0002-0000-0400-000003000000}">
          <x14:formula1>
            <xm:f>Dados!$F$2:$F$31</xm:f>
          </x14:formula1>
          <xm:sqref>F1:F4 F8:F1048576</xm:sqref>
        </x14:dataValidation>
        <x14:dataValidation type="list" allowBlank="1" showInputMessage="1" showErrorMessage="1" xr:uid="{00000000-0002-0000-0400-000004000000}">
          <x14:formula1>
            <xm:f>Dados!$D$2:$D$8</xm:f>
          </x14:formula1>
          <xm:sqref>G1:G1048576</xm:sqref>
        </x14:dataValidation>
        <x14:dataValidation type="list" allowBlank="1" showInputMessage="1" showErrorMessage="1" xr:uid="{00000000-0002-0000-0400-000005000000}">
          <x14:formula1>
            <xm:f>Dados!$F$2:$F$47</xm:f>
          </x14:formula1>
          <xm:sqref>F5</xm:sqref>
        </x14:dataValidation>
        <x14:dataValidation type="list" allowBlank="1" showInputMessage="1" showErrorMessage="1" xr:uid="{00000000-0002-0000-0400-000006000000}">
          <x14:formula1>
            <xm:f>Dados!$F$2:$F$33</xm:f>
          </x14:formula1>
          <xm:sqref>F6</xm:sqref>
        </x14:dataValidation>
        <x14:dataValidation type="list" allowBlank="1" showInputMessage="1" showErrorMessage="1" xr:uid="{00000000-0002-0000-0400-000007000000}">
          <x14:formula1>
            <xm:f>Dados!$F$2:$F$34</xm:f>
          </x14:formula1>
          <xm:sqref>F7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>
    <tabColor theme="5" tint="0.39997558519241921"/>
  </sheetPr>
  <dimension ref="A1:K25"/>
  <sheetViews>
    <sheetView showGridLines="0" showRowColHeaders="0" workbookViewId="0" xr3:uid="{78B4E459-6924-5F8B-B7BA-2DD04133E49E}">
      <selection sqref="A1:K2"/>
    </sheetView>
  </sheetViews>
  <sheetFormatPr defaultColWidth="0" defaultRowHeight="15" zeroHeight="1" x14ac:dyDescent="0.2"/>
  <cols>
    <col min="1" max="1" width="10.76171875" customWidth="1"/>
    <col min="2" max="2" width="9.28125" style="7" customWidth="1"/>
    <col min="3" max="3" width="7.12890625" style="7" customWidth="1"/>
    <col min="4" max="4" width="7.93359375" style="7" customWidth="1"/>
    <col min="5" max="5" width="11.703125" style="7" customWidth="1"/>
    <col min="6" max="6" width="18.6953125" style="7" customWidth="1"/>
    <col min="7" max="7" width="15.87109375" style="7" customWidth="1"/>
    <col min="8" max="9" width="13.5859375" style="7" customWidth="1"/>
    <col min="10" max="10" width="8.609375" style="7" customWidth="1"/>
    <col min="11" max="11" width="11.97265625" style="7" customWidth="1"/>
    <col min="12" max="16384" width="9.14453125" hidden="1"/>
  </cols>
  <sheetData>
    <row r="1" spans="1:11" ht="36.75" customHeight="1" x14ac:dyDescent="0.2">
      <c r="A1" s="66" t="s">
        <v>216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1" ht="20.25" customHeight="1" x14ac:dyDescent="0.2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</row>
    <row r="3" spans="1:11" s="49" customFormat="1" ht="24" customHeight="1" x14ac:dyDescent="0.2">
      <c r="A3" s="54" t="s">
        <v>1</v>
      </c>
      <c r="B3" s="54" t="s">
        <v>211</v>
      </c>
      <c r="C3" s="54" t="s">
        <v>185</v>
      </c>
      <c r="D3" s="54" t="s">
        <v>10</v>
      </c>
      <c r="E3" s="54" t="s">
        <v>212</v>
      </c>
      <c r="F3" s="54" t="s">
        <v>213</v>
      </c>
      <c r="G3" s="54" t="s">
        <v>220</v>
      </c>
      <c r="H3" s="54" t="s">
        <v>215</v>
      </c>
      <c r="I3" s="54" t="s">
        <v>221</v>
      </c>
      <c r="J3" s="54" t="s">
        <v>214</v>
      </c>
      <c r="K3" s="54" t="s">
        <v>7</v>
      </c>
    </row>
    <row r="4" spans="1:11" x14ac:dyDescent="0.2">
      <c r="A4" s="50">
        <v>43420</v>
      </c>
      <c r="B4" s="51">
        <v>0.4513888888888889</v>
      </c>
      <c r="C4" s="52">
        <v>11388</v>
      </c>
      <c r="D4" s="52" t="s">
        <v>217</v>
      </c>
      <c r="E4" s="52" t="s">
        <v>218</v>
      </c>
      <c r="F4" s="52" t="s">
        <v>219</v>
      </c>
      <c r="G4" s="52" t="s">
        <v>236</v>
      </c>
      <c r="H4" s="52" t="s">
        <v>229</v>
      </c>
      <c r="I4" s="52" t="s">
        <v>222</v>
      </c>
      <c r="J4" s="52">
        <v>1</v>
      </c>
      <c r="K4" s="52" t="s">
        <v>223</v>
      </c>
    </row>
    <row r="5" spans="1:11" x14ac:dyDescent="0.2">
      <c r="A5" s="53"/>
      <c r="B5" s="52"/>
      <c r="C5" s="52"/>
      <c r="D5" s="52"/>
      <c r="E5" s="52"/>
      <c r="F5" s="52"/>
      <c r="G5" s="52"/>
      <c r="H5" s="52"/>
      <c r="I5" s="52"/>
      <c r="J5" s="52"/>
      <c r="K5" s="52"/>
    </row>
    <row r="6" spans="1:11" x14ac:dyDescent="0.2">
      <c r="A6" s="53"/>
      <c r="B6" s="52"/>
      <c r="C6" s="52"/>
      <c r="D6" s="52"/>
      <c r="E6" s="52"/>
      <c r="F6" s="52"/>
      <c r="G6" s="52"/>
      <c r="H6" s="52"/>
      <c r="I6" s="52"/>
      <c r="J6" s="52"/>
      <c r="K6" s="52"/>
    </row>
    <row r="7" spans="1:11" x14ac:dyDescent="0.2">
      <c r="A7" s="53"/>
      <c r="B7" s="52"/>
      <c r="C7" s="52"/>
      <c r="D7" s="52"/>
      <c r="E7" s="52"/>
      <c r="F7" s="52"/>
      <c r="G7" s="52"/>
      <c r="H7" s="52"/>
      <c r="I7" s="52"/>
      <c r="J7" s="52"/>
      <c r="K7" s="52"/>
    </row>
    <row r="8" spans="1:11" x14ac:dyDescent="0.2">
      <c r="A8" s="53"/>
      <c r="B8" s="52"/>
      <c r="C8" s="52"/>
      <c r="D8" s="52"/>
      <c r="E8" s="52"/>
      <c r="F8" s="52"/>
      <c r="G8" s="52"/>
      <c r="H8" s="52"/>
      <c r="I8" s="52"/>
      <c r="J8" s="52"/>
      <c r="K8" s="52"/>
    </row>
    <row r="9" spans="1:11" x14ac:dyDescent="0.2">
      <c r="A9" s="53"/>
      <c r="B9" s="52"/>
      <c r="C9" s="52"/>
      <c r="D9" s="52"/>
      <c r="E9" s="52"/>
      <c r="F9" s="52"/>
      <c r="G9" s="52"/>
      <c r="H9" s="52"/>
      <c r="I9" s="52"/>
      <c r="J9" s="52"/>
      <c r="K9" s="52"/>
    </row>
    <row r="10" spans="1:11" x14ac:dyDescent="0.2">
      <c r="A10" s="53"/>
      <c r="B10" s="52"/>
      <c r="C10" s="52"/>
      <c r="D10" s="52"/>
      <c r="E10" s="52"/>
      <c r="F10" s="52"/>
      <c r="G10" s="52"/>
      <c r="H10" s="52"/>
      <c r="I10" s="52"/>
      <c r="J10" s="52"/>
      <c r="K10" s="52"/>
    </row>
    <row r="11" spans="1:11" x14ac:dyDescent="0.2">
      <c r="A11" s="53"/>
      <c r="B11" s="52"/>
      <c r="C11" s="52"/>
      <c r="D11" s="52"/>
      <c r="E11" s="52"/>
      <c r="F11" s="52"/>
      <c r="G11" s="52"/>
      <c r="H11" s="52"/>
      <c r="I11" s="52"/>
      <c r="J11" s="52"/>
      <c r="K11" s="52"/>
    </row>
    <row r="12" spans="1:11" x14ac:dyDescent="0.2">
      <c r="A12" s="53"/>
      <c r="B12" s="52"/>
      <c r="C12" s="52"/>
      <c r="D12" s="52"/>
      <c r="E12" s="52"/>
      <c r="F12" s="52"/>
      <c r="G12" s="52"/>
      <c r="H12" s="52"/>
      <c r="I12" s="52"/>
      <c r="J12" s="52"/>
      <c r="K12" s="52"/>
    </row>
    <row r="13" spans="1:11" x14ac:dyDescent="0.2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</row>
    <row r="14" spans="1:11" x14ac:dyDescent="0.2">
      <c r="A14" s="53"/>
      <c r="B14" s="52"/>
      <c r="C14" s="52"/>
      <c r="D14" s="52"/>
      <c r="E14" s="52"/>
      <c r="F14" s="52"/>
      <c r="G14" s="52"/>
      <c r="H14" s="52"/>
      <c r="I14" s="52"/>
      <c r="J14" s="52"/>
      <c r="K14" s="52"/>
    </row>
    <row r="15" spans="1:11" x14ac:dyDescent="0.2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</row>
    <row r="16" spans="1:11" x14ac:dyDescent="0.2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</row>
    <row r="17" spans="1:11" x14ac:dyDescent="0.2">
      <c r="A17" s="53"/>
      <c r="B17" s="52"/>
      <c r="C17" s="52"/>
      <c r="D17" s="52"/>
      <c r="E17" s="52"/>
      <c r="F17" s="52"/>
      <c r="G17" s="52"/>
      <c r="H17" s="52"/>
      <c r="I17" s="52"/>
      <c r="J17" s="52"/>
      <c r="K17" s="52"/>
    </row>
    <row r="18" spans="1:11" x14ac:dyDescent="0.2">
      <c r="A18" s="53"/>
      <c r="B18" s="52"/>
      <c r="C18" s="52"/>
      <c r="D18" s="52"/>
      <c r="E18" s="52"/>
      <c r="F18" s="52"/>
      <c r="G18" s="52"/>
      <c r="H18" s="52"/>
      <c r="I18" s="52"/>
      <c r="J18" s="52"/>
      <c r="K18" s="52"/>
    </row>
    <row r="19" spans="1:11" x14ac:dyDescent="0.2">
      <c r="A19" s="53"/>
      <c r="B19" s="52"/>
      <c r="C19" s="52"/>
      <c r="D19" s="52"/>
      <c r="E19" s="52"/>
      <c r="F19" s="52"/>
      <c r="G19" s="52"/>
      <c r="H19" s="52"/>
      <c r="I19" s="52"/>
      <c r="J19" s="52"/>
      <c r="K19" s="52"/>
    </row>
    <row r="20" spans="1:11" x14ac:dyDescent="0.2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</row>
    <row r="21" spans="1:11" x14ac:dyDescent="0.2">
      <c r="A21" s="53"/>
      <c r="B21" s="52"/>
      <c r="C21" s="52"/>
      <c r="D21" s="52"/>
      <c r="E21" s="52"/>
      <c r="F21" s="52"/>
      <c r="G21" s="52"/>
      <c r="H21" s="52"/>
      <c r="I21" s="52"/>
      <c r="J21" s="52"/>
      <c r="K21" s="52"/>
    </row>
    <row r="22" spans="1:11" x14ac:dyDescent="0.2">
      <c r="A22" s="53"/>
      <c r="B22" s="52"/>
      <c r="C22" s="52"/>
      <c r="D22" s="52"/>
      <c r="E22" s="52"/>
      <c r="F22" s="52"/>
      <c r="G22" s="52"/>
      <c r="H22" s="52"/>
      <c r="I22" s="52"/>
      <c r="J22" s="52"/>
      <c r="K22" s="52"/>
    </row>
    <row r="23" spans="1:11" x14ac:dyDescent="0.2">
      <c r="A23" s="53"/>
      <c r="B23" s="52"/>
      <c r="C23" s="52"/>
      <c r="D23" s="52"/>
      <c r="E23" s="52"/>
      <c r="F23" s="52"/>
      <c r="G23" s="52"/>
      <c r="H23" s="52"/>
      <c r="I23" s="52"/>
      <c r="J23" s="52"/>
      <c r="K23" s="52"/>
    </row>
    <row r="24" spans="1:11" hidden="1" x14ac:dyDescent="0.2">
      <c r="A24" s="53"/>
      <c r="B24" s="52"/>
      <c r="C24" s="52"/>
      <c r="D24" s="52"/>
      <c r="E24" s="52"/>
      <c r="F24" s="52"/>
      <c r="G24" s="52"/>
      <c r="H24" s="52"/>
      <c r="I24" s="52"/>
      <c r="J24" s="52"/>
      <c r="K24" s="52"/>
    </row>
    <row r="25" spans="1:11" hidden="1" x14ac:dyDescent="0.2"/>
  </sheetData>
  <dataConsolidate>
    <dataRefs count="1">
      <dataRef ref="M2:M4" sheet="Dados"/>
    </dataRefs>
  </dataConsolidate>
  <mergeCells count="1">
    <mergeCell ref="A1:K2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Dados!$M$2:$M$4</xm:f>
          </x14:formula1>
          <xm:sqref>G4:G25</xm:sqref>
        </x14:dataValidation>
        <x14:dataValidation type="list" allowBlank="1" showInputMessage="1" showErrorMessage="1" xr:uid="{00000000-0002-0000-0500-000001000000}">
          <x14:formula1>
            <xm:f>Dados!$N$2:$N$5</xm:f>
          </x14:formula1>
          <xm:sqref>H4:H25</xm:sqref>
        </x14:dataValidation>
        <x14:dataValidation type="list" allowBlank="1" showInputMessage="1" showErrorMessage="1" xr:uid="{00000000-0002-0000-0500-000002000000}">
          <x14:formula1>
            <xm:f>Dados!$P$2:$P$3</xm:f>
          </x14:formula1>
          <xm:sqref>I4:I23</xm:sqref>
        </x14:dataValidation>
        <x14:dataValidation type="list" allowBlank="1" showInputMessage="1" showErrorMessage="1" xr:uid="{00000000-0002-0000-0500-000003000000}">
          <x14:formula1>
            <xm:f>Dados!$O$2:$O$5</xm:f>
          </x14:formula1>
          <xm:sqref>K4:K23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5"/>
  <dimension ref="A1:H19"/>
  <sheetViews>
    <sheetView showGridLines="0" showRowColHeaders="0" workbookViewId="0" xr3:uid="{9B253EF2-77E0-53E3-AE26-4D66ECD923F3}">
      <selection sqref="A1:H1"/>
    </sheetView>
  </sheetViews>
  <sheetFormatPr defaultColWidth="0" defaultRowHeight="15" zeroHeight="1" x14ac:dyDescent="0.2"/>
  <cols>
    <col min="1" max="1" width="10.76171875" customWidth="1"/>
    <col min="2" max="2" width="6.72265625" style="6" customWidth="1"/>
    <col min="3" max="3" width="30.40234375" customWidth="1"/>
    <col min="4" max="4" width="25.15234375" customWidth="1"/>
    <col min="5" max="6" width="14.390625" style="6" customWidth="1"/>
    <col min="7" max="7" width="16.41015625" style="6" customWidth="1"/>
    <col min="8" max="8" width="13.44921875" style="6" customWidth="1"/>
    <col min="9" max="16384" width="9.14453125" hidden="1"/>
  </cols>
  <sheetData>
    <row r="1" spans="1:8" ht="54" customHeight="1" x14ac:dyDescent="0.2">
      <c r="A1" s="67"/>
      <c r="B1" s="67"/>
      <c r="C1" s="67"/>
      <c r="D1" s="67"/>
      <c r="E1" s="67"/>
      <c r="F1" s="67"/>
      <c r="G1" s="67"/>
      <c r="H1" s="67"/>
    </row>
    <row r="2" spans="1:8" s="24" customFormat="1" ht="27.75" customHeight="1" x14ac:dyDescent="0.2">
      <c r="A2" s="23" t="s">
        <v>42</v>
      </c>
      <c r="B2" s="23" t="s">
        <v>43</v>
      </c>
      <c r="C2" s="23" t="s">
        <v>0</v>
      </c>
      <c r="D2" s="23" t="s">
        <v>44</v>
      </c>
      <c r="E2" s="23" t="s">
        <v>45</v>
      </c>
      <c r="F2" s="23" t="s">
        <v>41</v>
      </c>
      <c r="G2" s="23" t="s">
        <v>46</v>
      </c>
      <c r="H2" s="23" t="s">
        <v>47</v>
      </c>
    </row>
    <row r="3" spans="1:8" x14ac:dyDescent="0.2">
      <c r="A3" s="8"/>
      <c r="B3" s="17"/>
    </row>
    <row r="4" spans="1:8" x14ac:dyDescent="0.2">
      <c r="A4" s="8"/>
      <c r="B4" s="17"/>
    </row>
    <row r="5" spans="1:8" x14ac:dyDescent="0.2"/>
    <row r="6" spans="1:8" x14ac:dyDescent="0.2"/>
    <row r="7" spans="1:8" x14ac:dyDescent="0.2"/>
    <row r="8" spans="1:8" x14ac:dyDescent="0.2"/>
    <row r="9" spans="1:8" x14ac:dyDescent="0.2"/>
    <row r="10" spans="1:8" x14ac:dyDescent="0.2"/>
    <row r="11" spans="1:8" x14ac:dyDescent="0.2"/>
    <row r="12" spans="1:8" x14ac:dyDescent="0.2"/>
    <row r="13" spans="1:8" x14ac:dyDescent="0.2"/>
    <row r="14" spans="1:8" x14ac:dyDescent="0.2"/>
    <row r="15" spans="1:8" x14ac:dyDescent="0.2"/>
    <row r="16" spans="1:8" x14ac:dyDescent="0.2"/>
    <row r="17" x14ac:dyDescent="0.2"/>
    <row r="18" x14ac:dyDescent="0.2"/>
    <row r="19" x14ac:dyDescent="0.2"/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Dados!$K$2:$K$4</xm:f>
          </x14:formula1>
          <xm:sqref>E3:E1048576</xm:sqref>
        </x14:dataValidation>
        <x14:dataValidation type="list" allowBlank="1" showInputMessage="1" showErrorMessage="1" xr:uid="{00000000-0002-0000-0600-000001000000}">
          <x14:formula1>
            <xm:f>Dados!$L$2:$L$8</xm:f>
          </x14:formula1>
          <xm:sqref>H3:H1048576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>
    <tabColor theme="5" tint="0.39997558519241921"/>
  </sheetPr>
  <dimension ref="A1:E19"/>
  <sheetViews>
    <sheetView showGridLines="0" showRowColHeaders="0" workbookViewId="0" xr3:uid="{85D5C41F-068E-5C55-9968-509E7C2A5619}">
      <selection activeCell="E3" sqref="E3"/>
    </sheetView>
  </sheetViews>
  <sheetFormatPr defaultColWidth="0" defaultRowHeight="15" zeroHeight="1" x14ac:dyDescent="0.2"/>
  <cols>
    <col min="1" max="1" width="11.1640625" style="10" customWidth="1"/>
    <col min="2" max="2" width="11.43359375" style="6" customWidth="1"/>
    <col min="3" max="3" width="10.0859375" style="6" customWidth="1"/>
    <col min="4" max="4" width="22.46484375" customWidth="1"/>
    <col min="5" max="5" width="36.453125" customWidth="1"/>
    <col min="6" max="16384" width="9.14453125" hidden="1"/>
  </cols>
  <sheetData>
    <row r="1" spans="1:5" ht="54" customHeight="1" x14ac:dyDescent="0.2">
      <c r="A1" s="67"/>
      <c r="B1" s="67"/>
      <c r="C1" s="67"/>
      <c r="D1" s="67"/>
      <c r="E1" s="67"/>
    </row>
    <row r="2" spans="1:5" ht="27.75" customHeight="1" x14ac:dyDescent="0.2">
      <c r="A2" s="20" t="s">
        <v>1</v>
      </c>
      <c r="B2" s="20" t="s">
        <v>30</v>
      </c>
      <c r="C2" s="20" t="s">
        <v>31</v>
      </c>
      <c r="D2" s="20" t="s">
        <v>4</v>
      </c>
      <c r="E2" s="20" t="s">
        <v>32</v>
      </c>
    </row>
    <row r="3" spans="1:5" x14ac:dyDescent="0.2">
      <c r="A3" s="9">
        <v>43281</v>
      </c>
      <c r="B3" s="6">
        <v>11452</v>
      </c>
      <c r="C3" s="6">
        <v>3</v>
      </c>
      <c r="D3" t="s">
        <v>33</v>
      </c>
    </row>
    <row r="4" spans="1:5" x14ac:dyDescent="0.2">
      <c r="A4" s="9">
        <v>43281</v>
      </c>
      <c r="B4" s="6">
        <v>11554</v>
      </c>
      <c r="C4" s="6">
        <v>2</v>
      </c>
      <c r="D4" t="s">
        <v>33</v>
      </c>
    </row>
    <row r="5" spans="1:5" x14ac:dyDescent="0.2">
      <c r="A5" s="9">
        <v>43281</v>
      </c>
      <c r="B5" s="6">
        <v>11785</v>
      </c>
      <c r="C5" s="6">
        <v>2</v>
      </c>
    </row>
    <row r="6" spans="1:5" x14ac:dyDescent="0.2"/>
    <row r="7" spans="1:5" x14ac:dyDescent="0.2"/>
    <row r="8" spans="1:5" x14ac:dyDescent="0.2"/>
    <row r="9" spans="1:5" x14ac:dyDescent="0.2"/>
    <row r="10" spans="1:5" x14ac:dyDescent="0.2"/>
    <row r="11" spans="1:5" x14ac:dyDescent="0.2"/>
    <row r="12" spans="1:5" x14ac:dyDescent="0.2"/>
    <row r="13" spans="1:5" x14ac:dyDescent="0.2"/>
    <row r="14" spans="1:5" x14ac:dyDescent="0.2"/>
    <row r="15" spans="1:5" x14ac:dyDescent="0.2"/>
    <row r="16" spans="1:5" x14ac:dyDescent="0.2"/>
    <row r="17" x14ac:dyDescent="0.2"/>
    <row r="18" x14ac:dyDescent="0.2"/>
    <row r="19" x14ac:dyDescent="0.2"/>
  </sheetData>
  <mergeCells count="1">
    <mergeCell ref="A1:E1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H1:P49"/>
  <sheetViews>
    <sheetView showGridLines="0" showRowColHeaders="0" topLeftCell="H1" workbookViewId="0" xr3:uid="{44B22561-5205-5C8A-B808-2C70100D228F}"/>
  </sheetViews>
  <sheetFormatPr defaultColWidth="0" defaultRowHeight="15" zeroHeight="1" x14ac:dyDescent="0.2"/>
  <cols>
    <col min="1" max="7" width="9.14453125" hidden="1" customWidth="1"/>
    <col min="8" max="8" width="10.76171875" customWidth="1"/>
    <col min="9" max="9" width="8.47265625" style="7" customWidth="1"/>
    <col min="10" max="12" width="12.23828125" style="7" customWidth="1"/>
    <col min="13" max="13" width="9.953125" style="6" customWidth="1"/>
    <col min="14" max="14" width="38.203125" customWidth="1"/>
    <col min="15" max="15" width="19.50390625" customWidth="1"/>
    <col min="16" max="16" width="16.27734375" customWidth="1"/>
    <col min="17" max="16384" width="9.14453125" hidden="1"/>
  </cols>
  <sheetData>
    <row r="1" spans="8:16" ht="54" customHeight="1" x14ac:dyDescent="0.2">
      <c r="H1" s="67"/>
      <c r="I1" s="67"/>
      <c r="J1" s="67"/>
      <c r="K1" s="67"/>
      <c r="L1" s="67"/>
      <c r="M1" s="67"/>
      <c r="N1" s="67"/>
      <c r="O1" s="67"/>
      <c r="P1" s="67"/>
    </row>
    <row r="2" spans="8:16" s="44" customFormat="1" ht="27.75" customHeight="1" x14ac:dyDescent="0.2">
      <c r="H2" s="43" t="s">
        <v>1</v>
      </c>
      <c r="I2" s="43" t="s">
        <v>10</v>
      </c>
      <c r="J2" s="43" t="s">
        <v>179</v>
      </c>
      <c r="K2" s="43" t="s">
        <v>180</v>
      </c>
      <c r="L2" s="43" t="s">
        <v>181</v>
      </c>
      <c r="M2" s="43" t="s">
        <v>174</v>
      </c>
      <c r="N2" s="43" t="s">
        <v>12</v>
      </c>
      <c r="O2" s="43" t="s">
        <v>13</v>
      </c>
      <c r="P2" s="43" t="s">
        <v>14</v>
      </c>
    </row>
    <row r="3" spans="8:16" x14ac:dyDescent="0.2">
      <c r="H3" s="8">
        <v>43283</v>
      </c>
      <c r="I3" s="7" t="s">
        <v>89</v>
      </c>
      <c r="J3" s="38">
        <v>0.25</v>
      </c>
      <c r="K3" s="38"/>
      <c r="L3" s="38"/>
      <c r="M3" s="6" t="s">
        <v>175</v>
      </c>
      <c r="N3" t="s">
        <v>176</v>
      </c>
      <c r="O3" t="s">
        <v>173</v>
      </c>
      <c r="P3" t="s">
        <v>177</v>
      </c>
    </row>
    <row r="4" spans="8:16" x14ac:dyDescent="0.2">
      <c r="H4" s="8">
        <v>43283</v>
      </c>
      <c r="I4" s="7" t="s">
        <v>82</v>
      </c>
      <c r="J4" s="38">
        <v>0.22222222222222221</v>
      </c>
      <c r="K4" s="38">
        <v>0.21180555555555555</v>
      </c>
      <c r="L4" s="38">
        <v>0.22430555555555556</v>
      </c>
      <c r="M4" s="6" t="s">
        <v>178</v>
      </c>
      <c r="N4" t="s">
        <v>182</v>
      </c>
      <c r="O4" t="s">
        <v>183</v>
      </c>
      <c r="P4" t="s">
        <v>177</v>
      </c>
    </row>
    <row r="5" spans="8:16" x14ac:dyDescent="0.2">
      <c r="H5" s="8">
        <v>43283</v>
      </c>
      <c r="I5" s="7" t="s">
        <v>84</v>
      </c>
      <c r="J5" s="38">
        <v>0.30763888888888891</v>
      </c>
      <c r="N5" t="s">
        <v>184</v>
      </c>
      <c r="O5" t="s">
        <v>70</v>
      </c>
    </row>
    <row r="6" spans="8:16" x14ac:dyDescent="0.2">
      <c r="H6" s="8">
        <v>43283</v>
      </c>
      <c r="I6" s="7" t="s">
        <v>83</v>
      </c>
      <c r="J6" s="38">
        <v>0.25555555555555559</v>
      </c>
      <c r="N6" t="s">
        <v>189</v>
      </c>
      <c r="O6" t="s">
        <v>190</v>
      </c>
      <c r="P6" t="s">
        <v>177</v>
      </c>
    </row>
    <row r="7" spans="8:16" x14ac:dyDescent="0.2">
      <c r="H7" s="8">
        <v>43283</v>
      </c>
      <c r="I7" s="7" t="s">
        <v>86</v>
      </c>
      <c r="J7" s="38">
        <v>0.3354166666666667</v>
      </c>
      <c r="N7" t="s">
        <v>191</v>
      </c>
      <c r="O7" t="s">
        <v>192</v>
      </c>
    </row>
    <row r="8" spans="8:16" x14ac:dyDescent="0.2"/>
    <row r="9" spans="8:16" x14ac:dyDescent="0.2"/>
    <row r="10" spans="8:16" x14ac:dyDescent="0.2"/>
    <row r="11" spans="8:16" x14ac:dyDescent="0.2"/>
    <row r="12" spans="8:16" x14ac:dyDescent="0.2"/>
    <row r="13" spans="8:16" x14ac:dyDescent="0.2"/>
    <row r="14" spans="8:16" x14ac:dyDescent="0.2"/>
    <row r="15" spans="8:16" x14ac:dyDescent="0.2"/>
    <row r="16" spans="8:16" x14ac:dyDescent="0.2"/>
    <row r="17" spans="13:13" x14ac:dyDescent="0.2"/>
    <row r="18" spans="13:13" x14ac:dyDescent="0.2"/>
    <row r="19" spans="13:13" x14ac:dyDescent="0.2"/>
    <row r="20" spans="13:13" x14ac:dyDescent="0.2"/>
    <row r="21" spans="13:13" x14ac:dyDescent="0.2"/>
    <row r="22" spans="13:13" x14ac:dyDescent="0.2"/>
    <row r="23" spans="13:13" x14ac:dyDescent="0.2"/>
    <row r="24" spans="13:13" ht="18.75" x14ac:dyDescent="0.25">
      <c r="M24" s="18"/>
    </row>
    <row r="25" spans="13:13" x14ac:dyDescent="0.2"/>
    <row r="26" spans="13:13" x14ac:dyDescent="0.2"/>
    <row r="27" spans="13:13" x14ac:dyDescent="0.2"/>
    <row r="28" spans="13:13" x14ac:dyDescent="0.2"/>
    <row r="29" spans="13:13" x14ac:dyDescent="0.2"/>
    <row r="30" spans="13:13" x14ac:dyDescent="0.2"/>
    <row r="31" spans="13:13" x14ac:dyDescent="0.2"/>
    <row r="32" spans="13:13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</sheetData>
  <mergeCells count="1">
    <mergeCell ref="H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>
    <tabColor theme="5" tint="0.39997558519241921"/>
  </sheetPr>
  <dimension ref="A1:H69"/>
  <sheetViews>
    <sheetView showGridLines="0" showRowColHeaders="0" workbookViewId="0" xr3:uid="{7BE570AB-09E9-518F-B8F7-3F91B7162CA9}">
      <selection sqref="A1:H1"/>
    </sheetView>
  </sheetViews>
  <sheetFormatPr defaultColWidth="0" defaultRowHeight="15" zeroHeight="1" x14ac:dyDescent="0.2"/>
  <cols>
    <col min="1" max="1" width="10.76171875" customWidth="1"/>
    <col min="2" max="2" width="8.47265625" customWidth="1"/>
    <col min="3" max="3" width="12.23828125" customWidth="1"/>
    <col min="4" max="4" width="12.23828125" style="46" customWidth="1"/>
    <col min="5" max="5" width="9.953125" style="7" customWidth="1"/>
    <col min="6" max="6" width="45.46875" customWidth="1"/>
    <col min="7" max="7" width="17.890625" customWidth="1"/>
    <col min="8" max="8" width="14.2578125" customWidth="1"/>
    <col min="9" max="16384" width="9.14453125" hidden="1"/>
  </cols>
  <sheetData>
    <row r="1" spans="1:8" ht="54" customHeight="1" x14ac:dyDescent="0.2">
      <c r="A1" s="68"/>
      <c r="B1" s="68"/>
      <c r="C1" s="68"/>
      <c r="D1" s="68"/>
      <c r="E1" s="68"/>
      <c r="F1" s="68"/>
      <c r="G1" s="68"/>
      <c r="H1" s="68"/>
    </row>
    <row r="2" spans="1:8" s="7" customFormat="1" ht="27.75" customHeight="1" x14ac:dyDescent="0.2">
      <c r="A2" s="42" t="s">
        <v>1</v>
      </c>
      <c r="B2" s="43" t="s">
        <v>10</v>
      </c>
      <c r="C2" s="43" t="s">
        <v>11</v>
      </c>
      <c r="D2" s="45" t="s">
        <v>185</v>
      </c>
      <c r="E2" s="43" t="s">
        <v>174</v>
      </c>
      <c r="F2" s="43" t="s">
        <v>12</v>
      </c>
      <c r="G2" s="43" t="s">
        <v>13</v>
      </c>
      <c r="H2" s="43" t="s">
        <v>14</v>
      </c>
    </row>
    <row r="3" spans="1:8" x14ac:dyDescent="0.2">
      <c r="A3" s="8">
        <v>43283</v>
      </c>
      <c r="B3" t="s">
        <v>84</v>
      </c>
      <c r="C3" s="1">
        <v>0.42569444444444443</v>
      </c>
      <c r="D3" s="46">
        <v>11844</v>
      </c>
      <c r="F3" t="s">
        <v>186</v>
      </c>
      <c r="G3" t="s">
        <v>187</v>
      </c>
      <c r="H3" t="s">
        <v>188</v>
      </c>
    </row>
    <row r="4" spans="1:8" x14ac:dyDescent="0.2"/>
    <row r="5" spans="1:8" x14ac:dyDescent="0.2"/>
    <row r="6" spans="1:8" x14ac:dyDescent="0.2"/>
    <row r="7" spans="1:8" x14ac:dyDescent="0.2"/>
    <row r="8" spans="1:8" x14ac:dyDescent="0.2"/>
    <row r="9" spans="1:8" x14ac:dyDescent="0.2"/>
    <row r="10" spans="1:8" x14ac:dyDescent="0.2"/>
    <row r="11" spans="1:8" x14ac:dyDescent="0.2"/>
    <row r="12" spans="1:8" x14ac:dyDescent="0.2"/>
    <row r="13" spans="1:8" x14ac:dyDescent="0.2"/>
    <row r="14" spans="1:8" x14ac:dyDescent="0.2"/>
    <row r="15" spans="1:8" x14ac:dyDescent="0.2"/>
    <row r="16" spans="1:8" x14ac:dyDescent="0.2"/>
    <row r="17" spans="5:5" x14ac:dyDescent="0.2"/>
    <row r="18" spans="5:5" x14ac:dyDescent="0.2"/>
    <row r="19" spans="5:5" x14ac:dyDescent="0.2"/>
    <row r="20" spans="5:5" x14ac:dyDescent="0.2"/>
    <row r="21" spans="5:5" x14ac:dyDescent="0.2"/>
    <row r="22" spans="5:5" x14ac:dyDescent="0.2"/>
    <row r="23" spans="5:5" x14ac:dyDescent="0.2"/>
    <row r="24" spans="5:5" ht="18.75" x14ac:dyDescent="0.2">
      <c r="E24" s="41"/>
    </row>
    <row r="25" spans="5:5" x14ac:dyDescent="0.2"/>
    <row r="26" spans="5:5" x14ac:dyDescent="0.2"/>
    <row r="27" spans="5:5" x14ac:dyDescent="0.2"/>
    <row r="28" spans="5:5" x14ac:dyDescent="0.2"/>
    <row r="29" spans="5:5" x14ac:dyDescent="0.2"/>
    <row r="30" spans="5:5" x14ac:dyDescent="0.2"/>
    <row r="31" spans="5:5" x14ac:dyDescent="0.2"/>
    <row r="32" spans="5:5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"/>
  <sheetViews>
    <sheetView workbookViewId="0" xr3:uid="{65FA3815-DCC1-5481-872F-D2879ED395ED}"/>
  </sheetViews>
  <sheetFormatPr defaultRowHeight="15" x14ac:dyDescent="0.2"/>
  <sheetData/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tabColor theme="5" tint="0.39997558519241921"/>
  </sheetPr>
  <dimension ref="A1:G21"/>
  <sheetViews>
    <sheetView showGridLines="0" showRowColHeaders="0" workbookViewId="0" xr3:uid="{FF0BDA26-1AD6-5648-BD9A-E01AA4DDCA7C}">
      <selection sqref="A1:G1"/>
    </sheetView>
  </sheetViews>
  <sheetFormatPr defaultColWidth="0" defaultRowHeight="15" zeroHeight="1" x14ac:dyDescent="0.2"/>
  <cols>
    <col min="1" max="1" width="10.76171875" customWidth="1"/>
    <col min="2" max="2" width="16.41015625" customWidth="1"/>
    <col min="3" max="3" width="12.9140625" style="6" customWidth="1"/>
    <col min="4" max="4" width="18.29296875" style="6" customWidth="1"/>
    <col min="5" max="5" width="14.9296875" style="6" customWidth="1"/>
    <col min="6" max="6" width="17.08203125" style="6" customWidth="1"/>
    <col min="7" max="7" width="26.09765625" customWidth="1"/>
    <col min="8" max="16384" width="9.14453125" hidden="1"/>
  </cols>
  <sheetData>
    <row r="1" spans="1:7" ht="54" customHeight="1" x14ac:dyDescent="0.2">
      <c r="A1" s="67"/>
      <c r="B1" s="67"/>
      <c r="C1" s="67"/>
      <c r="D1" s="67"/>
      <c r="E1" s="67"/>
      <c r="F1" s="67"/>
      <c r="G1" s="67"/>
    </row>
    <row r="2" spans="1:7" s="39" customFormat="1" ht="27.75" customHeight="1" x14ac:dyDescent="0.2">
      <c r="A2" s="40" t="s">
        <v>1</v>
      </c>
      <c r="B2" s="40" t="s">
        <v>166</v>
      </c>
      <c r="C2" s="40" t="s">
        <v>167</v>
      </c>
      <c r="D2" s="40" t="s">
        <v>7</v>
      </c>
      <c r="E2" s="40" t="s">
        <v>168</v>
      </c>
      <c r="F2" s="40" t="s">
        <v>169</v>
      </c>
      <c r="G2" s="40" t="s">
        <v>14</v>
      </c>
    </row>
    <row r="3" spans="1:7" x14ac:dyDescent="0.2">
      <c r="A3" s="8">
        <v>43283</v>
      </c>
      <c r="B3" t="s">
        <v>170</v>
      </c>
      <c r="C3" s="6" t="s">
        <v>74</v>
      </c>
      <c r="D3" s="6" t="s">
        <v>171</v>
      </c>
      <c r="E3" s="17">
        <v>0.16666666666666666</v>
      </c>
      <c r="F3" s="17">
        <v>0.52430555555555558</v>
      </c>
      <c r="G3" t="s">
        <v>172</v>
      </c>
    </row>
    <row r="4" spans="1:7" x14ac:dyDescent="0.2"/>
    <row r="5" spans="1:7" x14ac:dyDescent="0.2"/>
    <row r="6" spans="1:7" x14ac:dyDescent="0.2"/>
    <row r="7" spans="1:7" x14ac:dyDescent="0.2"/>
    <row r="8" spans="1:7" x14ac:dyDescent="0.2"/>
    <row r="9" spans="1:7" x14ac:dyDescent="0.2"/>
    <row r="10" spans="1:7" x14ac:dyDescent="0.2"/>
    <row r="11" spans="1:7" x14ac:dyDescent="0.2"/>
    <row r="12" spans="1:7" x14ac:dyDescent="0.2"/>
    <row r="13" spans="1:7" x14ac:dyDescent="0.2"/>
    <row r="14" spans="1:7" x14ac:dyDescent="0.2"/>
    <row r="15" spans="1:7" x14ac:dyDescent="0.2"/>
    <row r="16" spans="1:7" x14ac:dyDescent="0.2"/>
    <row r="17" x14ac:dyDescent="0.2"/>
    <row r="18" x14ac:dyDescent="0.2"/>
    <row r="19" x14ac:dyDescent="0.2"/>
    <row r="20" x14ac:dyDescent="0.2"/>
    <row r="21" x14ac:dyDescent="0.2"/>
  </sheetData>
  <mergeCells count="1">
    <mergeCell ref="A1:G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1"/>
  <dimension ref="A1:XFC20"/>
  <sheetViews>
    <sheetView showGridLines="0" showRowColHeaders="0" workbookViewId="0" xr3:uid="{C67EF94B-0B3B-5838-830C-E3A509766221}">
      <selection sqref="A1:H1"/>
    </sheetView>
  </sheetViews>
  <sheetFormatPr defaultColWidth="0" defaultRowHeight="15" zeroHeight="1" x14ac:dyDescent="0.2"/>
  <cols>
    <col min="1" max="1" width="10.76171875" customWidth="1"/>
    <col min="2" max="2" width="8.609375" customWidth="1"/>
    <col min="3" max="3" width="5.6484375" customWidth="1"/>
    <col min="4" max="4" width="16.140625" customWidth="1"/>
    <col min="5" max="5" width="27.57421875" customWidth="1"/>
    <col min="6" max="6" width="11.703125" customWidth="1"/>
    <col min="7" max="7" width="16.140625" customWidth="1"/>
    <col min="8" max="8" width="22.734375" customWidth="1"/>
    <col min="9" max="16383" width="9.14453125" hidden="1"/>
    <col min="16384" max="16384" width="10.22265625" hidden="1" customWidth="1"/>
  </cols>
  <sheetData>
    <row r="1" spans="1:8" ht="54" customHeight="1" x14ac:dyDescent="0.2">
      <c r="A1" s="67"/>
      <c r="B1" s="67"/>
      <c r="C1" s="67"/>
      <c r="D1" s="67"/>
      <c r="E1" s="67"/>
      <c r="F1" s="67"/>
      <c r="G1" s="67"/>
      <c r="H1" s="67"/>
    </row>
    <row r="2" spans="1:8" s="5" customFormat="1" ht="27.75" customHeight="1" x14ac:dyDescent="0.25">
      <c r="A2" s="22" t="s">
        <v>1</v>
      </c>
      <c r="B2" s="22" t="s">
        <v>18</v>
      </c>
      <c r="C2" s="22" t="s">
        <v>19</v>
      </c>
      <c r="D2" s="22" t="s">
        <v>4</v>
      </c>
      <c r="E2" s="22" t="s">
        <v>35</v>
      </c>
      <c r="F2" s="22" t="s">
        <v>36</v>
      </c>
      <c r="G2" s="22" t="s">
        <v>37</v>
      </c>
      <c r="H2" s="22" t="s">
        <v>32</v>
      </c>
    </row>
    <row r="3" spans="1:8" x14ac:dyDescent="0.2">
      <c r="A3" s="8"/>
      <c r="B3" s="1"/>
      <c r="C3" s="1"/>
    </row>
    <row r="4" spans="1:8" x14ac:dyDescent="0.2"/>
    <row r="5" spans="1:8" x14ac:dyDescent="0.2"/>
    <row r="6" spans="1:8" x14ac:dyDescent="0.2"/>
    <row r="7" spans="1:8" x14ac:dyDescent="0.2"/>
    <row r="8" spans="1:8" x14ac:dyDescent="0.2"/>
    <row r="9" spans="1:8" x14ac:dyDescent="0.2"/>
    <row r="10" spans="1:8" x14ac:dyDescent="0.2"/>
    <row r="11" spans="1:8" x14ac:dyDescent="0.2"/>
    <row r="12" spans="1:8" x14ac:dyDescent="0.2"/>
    <row r="13" spans="1:8" x14ac:dyDescent="0.2"/>
    <row r="14" spans="1:8" x14ac:dyDescent="0.2"/>
    <row r="15" spans="1:8" x14ac:dyDescent="0.2"/>
    <row r="16" spans="1:8" x14ac:dyDescent="0.2"/>
    <row r="17" x14ac:dyDescent="0.2"/>
    <row r="18" x14ac:dyDescent="0.2"/>
    <row r="19" x14ac:dyDescent="0.2"/>
    <row r="20" x14ac:dyDescent="0.2"/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2"/>
  <dimension ref="A1"/>
  <sheetViews>
    <sheetView workbookViewId="0" xr3:uid="{274F5AE0-5452-572F-8038-C13FFDA59D49}"/>
  </sheetViews>
  <sheetFormatPr defaultRowHeight="15" x14ac:dyDescent="0.2"/>
  <sheetData/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3">
    <tabColor theme="5" tint="0.39997558519241921"/>
  </sheetPr>
  <dimension ref="A1"/>
  <sheetViews>
    <sheetView workbookViewId="0" xr3:uid="{33642244-9AC9-5136-AF77-195C889548CE}"/>
  </sheetViews>
  <sheetFormatPr defaultRowHeight="15" x14ac:dyDescent="0.2"/>
  <sheetData/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4">
    <tabColor theme="5" tint="0.39997558519241921"/>
  </sheetPr>
  <dimension ref="A1:E69"/>
  <sheetViews>
    <sheetView showGridLines="0" showRowColHeaders="0" workbookViewId="0" xr3:uid="{D624DF06-3800-545C-AC8D-BADC89115800}">
      <selection sqref="A1:E1"/>
    </sheetView>
  </sheetViews>
  <sheetFormatPr defaultColWidth="0" defaultRowHeight="15" zeroHeight="1" x14ac:dyDescent="0.2"/>
  <cols>
    <col min="1" max="1" width="10.76171875" style="7" customWidth="1"/>
    <col min="2" max="2" width="16.41015625" style="7" customWidth="1"/>
    <col min="3" max="3" width="18.16015625" style="7" customWidth="1"/>
    <col min="4" max="4" width="29.45703125" style="7" customWidth="1"/>
    <col min="5" max="5" width="6.9921875" style="7" customWidth="1"/>
    <col min="6" max="16384" width="9.14453125" hidden="1"/>
  </cols>
  <sheetData>
    <row r="1" spans="1:5" ht="54" customHeight="1" x14ac:dyDescent="0.2">
      <c r="A1" s="69"/>
      <c r="B1" s="69"/>
      <c r="C1" s="69"/>
      <c r="D1" s="69"/>
      <c r="E1" s="69"/>
    </row>
    <row r="2" spans="1:5" ht="27" customHeight="1" x14ac:dyDescent="0.2">
      <c r="A2" s="47" t="s">
        <v>1</v>
      </c>
      <c r="B2" s="47" t="s">
        <v>4</v>
      </c>
      <c r="C2" s="47" t="s">
        <v>6</v>
      </c>
      <c r="D2" s="47" t="s">
        <v>197</v>
      </c>
      <c r="E2" s="47" t="s">
        <v>198</v>
      </c>
    </row>
    <row r="3" spans="1:5" x14ac:dyDescent="0.2">
      <c r="A3" s="48">
        <v>43283</v>
      </c>
      <c r="B3" s="7" t="s">
        <v>170</v>
      </c>
      <c r="C3" s="7" t="s">
        <v>195</v>
      </c>
      <c r="D3" s="7" t="s">
        <v>196</v>
      </c>
      <c r="E3" s="7">
        <v>109</v>
      </c>
    </row>
    <row r="4" spans="1:5" x14ac:dyDescent="0.2"/>
    <row r="5" spans="1:5" x14ac:dyDescent="0.2"/>
    <row r="6" spans="1:5" x14ac:dyDescent="0.2"/>
    <row r="7" spans="1:5" x14ac:dyDescent="0.2"/>
    <row r="8" spans="1:5" x14ac:dyDescent="0.2"/>
    <row r="9" spans="1:5" x14ac:dyDescent="0.2"/>
    <row r="10" spans="1:5" x14ac:dyDescent="0.2"/>
    <row r="11" spans="1:5" x14ac:dyDescent="0.2"/>
    <row r="12" spans="1:5" x14ac:dyDescent="0.2"/>
    <row r="13" spans="1:5" x14ac:dyDescent="0.2"/>
    <row r="14" spans="1:5" x14ac:dyDescent="0.2"/>
    <row r="15" spans="1:5" x14ac:dyDescent="0.2"/>
    <row r="16" spans="1:5" x14ac:dyDescent="0.2"/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  <row r="31" x14ac:dyDescent="0.2"/>
    <row r="32" x14ac:dyDescent="0.2"/>
    <row r="33" x14ac:dyDescent="0.2"/>
    <row r="34" x14ac:dyDescent="0.2"/>
    <row r="35" x14ac:dyDescent="0.2"/>
    <row r="36" x14ac:dyDescent="0.2"/>
    <row r="37" x14ac:dyDescent="0.2"/>
    <row r="38" x14ac:dyDescent="0.2"/>
    <row r="39" x14ac:dyDescent="0.2"/>
    <row r="40" x14ac:dyDescent="0.2"/>
    <row r="41" x14ac:dyDescent="0.2"/>
    <row r="42" x14ac:dyDescent="0.2"/>
    <row r="43" x14ac:dyDescent="0.2"/>
    <row r="44" x14ac:dyDescent="0.2"/>
    <row r="45" x14ac:dyDescent="0.2"/>
    <row r="46" x14ac:dyDescent="0.2"/>
    <row r="47" x14ac:dyDescent="0.2"/>
    <row r="48" x14ac:dyDescent="0.2"/>
    <row r="49" x14ac:dyDescent="0.2"/>
    <row r="50" x14ac:dyDescent="0.2"/>
    <row r="51" x14ac:dyDescent="0.2"/>
    <row r="52" x14ac:dyDescent="0.2"/>
    <row r="53" x14ac:dyDescent="0.2"/>
    <row r="54" x14ac:dyDescent="0.2"/>
    <row r="55" x14ac:dyDescent="0.2"/>
    <row r="56" x14ac:dyDescent="0.2"/>
    <row r="57" x14ac:dyDescent="0.2"/>
    <row r="58" x14ac:dyDescent="0.2"/>
    <row r="59" x14ac:dyDescent="0.2"/>
    <row r="60" x14ac:dyDescent="0.2"/>
    <row r="61" x14ac:dyDescent="0.2"/>
    <row r="62" x14ac:dyDescent="0.2"/>
    <row r="63" x14ac:dyDescent="0.2"/>
    <row r="64" x14ac:dyDescent="0.2"/>
    <row r="65" x14ac:dyDescent="0.2"/>
    <row r="66" x14ac:dyDescent="0.2"/>
    <row r="67" x14ac:dyDescent="0.2"/>
    <row r="68" x14ac:dyDescent="0.2"/>
    <row r="69" x14ac:dyDescent="0.2"/>
  </sheetData>
  <mergeCells count="1">
    <mergeCell ref="A1:E1"/>
  </mergeCell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5">
    <tabColor theme="5" tint="0.39997558519241921"/>
  </sheetPr>
  <dimension ref="A1:F19"/>
  <sheetViews>
    <sheetView showGridLines="0" showRowColHeaders="0" workbookViewId="0" xr3:uid="{11A3ACCB-1F19-5AC9-A611-4158731A345D}">
      <selection sqref="A1:F1"/>
    </sheetView>
  </sheetViews>
  <sheetFormatPr defaultColWidth="0" defaultRowHeight="15" zeroHeight="1" x14ac:dyDescent="0.2"/>
  <cols>
    <col min="1" max="1" width="12.375" style="10" customWidth="1"/>
    <col min="2" max="2" width="32.8203125" style="11" customWidth="1"/>
    <col min="3" max="3" width="32.8203125" style="10" customWidth="1"/>
    <col min="4" max="4" width="21.25390625" style="10" customWidth="1"/>
    <col min="5" max="5" width="8.609375" style="6" customWidth="1"/>
    <col min="6" max="6" width="12.5078125" style="10" customWidth="1"/>
    <col min="7" max="16384" width="9.14453125" hidden="1"/>
  </cols>
  <sheetData>
    <row r="1" spans="1:6" ht="54" customHeight="1" x14ac:dyDescent="0.2">
      <c r="A1" s="65"/>
      <c r="B1" s="65"/>
      <c r="C1" s="65"/>
      <c r="D1" s="65"/>
      <c r="E1" s="65"/>
      <c r="F1" s="65"/>
    </row>
    <row r="2" spans="1:6" s="7" customFormat="1" ht="27.75" customHeight="1" x14ac:dyDescent="0.2">
      <c r="A2" s="21" t="s">
        <v>1</v>
      </c>
      <c r="B2" s="21" t="s">
        <v>15</v>
      </c>
      <c r="C2" s="21" t="s">
        <v>16</v>
      </c>
      <c r="D2" s="21" t="s">
        <v>17</v>
      </c>
      <c r="E2" s="21" t="s">
        <v>9</v>
      </c>
      <c r="F2" s="21" t="s">
        <v>34</v>
      </c>
    </row>
    <row r="3" spans="1:6" x14ac:dyDescent="0.2">
      <c r="A3" s="9"/>
    </row>
    <row r="4" spans="1:6" x14ac:dyDescent="0.2">
      <c r="A4" s="9"/>
    </row>
    <row r="5" spans="1:6" x14ac:dyDescent="0.2">
      <c r="A5" s="9"/>
    </row>
    <row r="6" spans="1:6" x14ac:dyDescent="0.2"/>
    <row r="7" spans="1:6" x14ac:dyDescent="0.2"/>
    <row r="8" spans="1:6" x14ac:dyDescent="0.2"/>
    <row r="9" spans="1:6" x14ac:dyDescent="0.2"/>
    <row r="10" spans="1:6" x14ac:dyDescent="0.2"/>
    <row r="11" spans="1:6" x14ac:dyDescent="0.2"/>
    <row r="12" spans="1:6" x14ac:dyDescent="0.2"/>
    <row r="13" spans="1:6" x14ac:dyDescent="0.2"/>
    <row r="14" spans="1:6" x14ac:dyDescent="0.2"/>
    <row r="15" spans="1:6" x14ac:dyDescent="0.2"/>
    <row r="16" spans="1:6" x14ac:dyDescent="0.2"/>
    <row r="17" x14ac:dyDescent="0.2"/>
    <row r="18" x14ac:dyDescent="0.2"/>
    <row r="19" x14ac:dyDescent="0.2"/>
  </sheetData>
  <mergeCells count="1">
    <mergeCell ref="A1:F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6"/>
  <dimension ref="A1:P37"/>
  <sheetViews>
    <sheetView topLeftCell="D1" workbookViewId="0" xr3:uid="{F1CDC194-CB96-5A2D-8E84-222F42300CFA}">
      <selection activeCell="N12" sqref="N12"/>
    </sheetView>
  </sheetViews>
  <sheetFormatPr defaultRowHeight="15" x14ac:dyDescent="0.2"/>
  <cols>
    <col min="1" max="1" width="13.85546875" style="7" customWidth="1"/>
    <col min="2" max="2" width="9.01171875" style="7" customWidth="1"/>
    <col min="3" max="3" width="9.953125" style="7" customWidth="1"/>
    <col min="4" max="4" width="6.58984375" style="7" customWidth="1"/>
    <col min="5" max="5" width="8.203125" style="7" customWidth="1"/>
    <col min="6" max="6" width="50.4453125" style="26" customWidth="1"/>
    <col min="7" max="7" width="7.6640625" style="7" customWidth="1"/>
    <col min="8" max="8" width="8.7421875" style="7" customWidth="1"/>
    <col min="9" max="9" width="19.50390625" style="7" customWidth="1"/>
    <col min="10" max="10" width="8.203125" style="7" customWidth="1"/>
    <col min="11" max="11" width="12.9140625" style="7" customWidth="1"/>
    <col min="12" max="12" width="12.375" style="7" customWidth="1"/>
    <col min="13" max="13" width="15.87109375" customWidth="1"/>
    <col min="15" max="15" width="10.625" customWidth="1"/>
    <col min="16" max="16" width="10.35546875" customWidth="1"/>
  </cols>
  <sheetData>
    <row r="1" spans="1:16" ht="21.75" customHeight="1" x14ac:dyDescent="0.2">
      <c r="A1" s="32" t="s">
        <v>6</v>
      </c>
      <c r="B1" s="33" t="s">
        <v>2</v>
      </c>
      <c r="C1" s="34" t="s">
        <v>7</v>
      </c>
      <c r="D1" s="34" t="s">
        <v>9</v>
      </c>
      <c r="E1" s="32" t="s">
        <v>100</v>
      </c>
      <c r="F1" s="35" t="s">
        <v>8</v>
      </c>
      <c r="G1" s="36" t="s">
        <v>16</v>
      </c>
      <c r="H1" s="34" t="s">
        <v>24</v>
      </c>
      <c r="I1" s="34" t="s">
        <v>3</v>
      </c>
      <c r="J1" s="32" t="s">
        <v>10</v>
      </c>
      <c r="K1" s="34" t="s">
        <v>39</v>
      </c>
      <c r="L1" s="32" t="s">
        <v>38</v>
      </c>
      <c r="M1" s="32" t="s">
        <v>220</v>
      </c>
      <c r="N1" s="32" t="s">
        <v>215</v>
      </c>
      <c r="O1" s="32" t="s">
        <v>7</v>
      </c>
      <c r="P1" s="32" t="s">
        <v>221</v>
      </c>
    </row>
    <row r="2" spans="1:16" x14ac:dyDescent="0.2">
      <c r="A2" s="25" t="s">
        <v>60</v>
      </c>
      <c r="B2" s="27" t="s">
        <v>22</v>
      </c>
      <c r="C2" s="28" t="s">
        <v>67</v>
      </c>
      <c r="D2" s="30">
        <v>1</v>
      </c>
      <c r="E2" s="29" t="s">
        <v>57</v>
      </c>
      <c r="F2" s="31" t="s">
        <v>109</v>
      </c>
      <c r="H2" s="28" t="s">
        <v>25</v>
      </c>
      <c r="I2" s="28" t="s">
        <v>74</v>
      </c>
      <c r="J2" s="25" t="s">
        <v>93</v>
      </c>
      <c r="K2" s="37" t="s">
        <v>40</v>
      </c>
      <c r="L2" s="25" t="s">
        <v>49</v>
      </c>
      <c r="M2" s="6" t="s">
        <v>232</v>
      </c>
      <c r="N2" s="6" t="s">
        <v>227</v>
      </c>
      <c r="O2" s="6" t="s">
        <v>224</v>
      </c>
      <c r="P2" s="7" t="s">
        <v>234</v>
      </c>
    </row>
    <row r="3" spans="1:16" x14ac:dyDescent="0.2">
      <c r="A3" s="25" t="s">
        <v>61</v>
      </c>
      <c r="B3" s="27" t="s">
        <v>58</v>
      </c>
      <c r="C3" s="28" t="s">
        <v>68</v>
      </c>
      <c r="D3" s="30">
        <v>2</v>
      </c>
      <c r="E3" s="29" t="s">
        <v>104</v>
      </c>
      <c r="F3" s="31" t="s">
        <v>110</v>
      </c>
      <c r="H3" s="28" t="s">
        <v>48</v>
      </c>
      <c r="I3" s="28" t="s">
        <v>203</v>
      </c>
      <c r="J3" s="25" t="s">
        <v>23</v>
      </c>
      <c r="K3" s="37" t="s">
        <v>55</v>
      </c>
      <c r="L3" s="25" t="s">
        <v>51</v>
      </c>
      <c r="M3" s="6" t="s">
        <v>233</v>
      </c>
      <c r="N3" s="6" t="s">
        <v>228</v>
      </c>
      <c r="O3" s="6" t="s">
        <v>226</v>
      </c>
      <c r="P3" s="7" t="s">
        <v>235</v>
      </c>
    </row>
    <row r="4" spans="1:16" x14ac:dyDescent="0.2">
      <c r="A4" s="25" t="s">
        <v>62</v>
      </c>
      <c r="B4" s="27" t="s">
        <v>59</v>
      </c>
      <c r="C4" s="28" t="s">
        <v>112</v>
      </c>
      <c r="D4" s="30">
        <v>3</v>
      </c>
      <c r="E4" s="29" t="s">
        <v>101</v>
      </c>
      <c r="F4" s="31" t="s">
        <v>107</v>
      </c>
      <c r="I4" s="28" t="s">
        <v>70</v>
      </c>
      <c r="J4" s="25" t="s">
        <v>80</v>
      </c>
      <c r="K4" s="37" t="s">
        <v>56</v>
      </c>
      <c r="L4" s="25" t="s">
        <v>52</v>
      </c>
      <c r="M4" s="6" t="s">
        <v>236</v>
      </c>
      <c r="N4" s="6" t="s">
        <v>229</v>
      </c>
      <c r="O4" s="6" t="s">
        <v>225</v>
      </c>
      <c r="P4" s="7"/>
    </row>
    <row r="5" spans="1:16" x14ac:dyDescent="0.2">
      <c r="A5" s="25" t="s">
        <v>63</v>
      </c>
      <c r="C5" s="7" t="s">
        <v>224</v>
      </c>
      <c r="D5" s="30">
        <v>4</v>
      </c>
      <c r="E5" s="29" t="s">
        <v>114</v>
      </c>
      <c r="F5" s="31" t="s">
        <v>108</v>
      </c>
      <c r="I5" s="28" t="s">
        <v>72</v>
      </c>
      <c r="J5" s="25" t="s">
        <v>78</v>
      </c>
      <c r="L5" s="25" t="s">
        <v>50</v>
      </c>
      <c r="M5" s="6"/>
      <c r="N5" s="6" t="s">
        <v>230</v>
      </c>
      <c r="O5" s="6" t="s">
        <v>231</v>
      </c>
      <c r="P5" s="7"/>
    </row>
    <row r="6" spans="1:16" x14ac:dyDescent="0.2">
      <c r="A6" s="25" t="s">
        <v>64</v>
      </c>
      <c r="C6" s="7" t="s">
        <v>225</v>
      </c>
      <c r="D6" s="30">
        <v>5</v>
      </c>
      <c r="E6" s="29" t="s">
        <v>102</v>
      </c>
      <c r="F6" s="31" t="s">
        <v>113</v>
      </c>
      <c r="I6" s="28" t="s">
        <v>71</v>
      </c>
      <c r="J6" s="25" t="s">
        <v>79</v>
      </c>
      <c r="L6" s="25" t="s">
        <v>202</v>
      </c>
    </row>
    <row r="7" spans="1:16" x14ac:dyDescent="0.2">
      <c r="A7" s="25" t="s">
        <v>65</v>
      </c>
      <c r="C7" s="7" t="s">
        <v>226</v>
      </c>
      <c r="D7" s="30">
        <v>6</v>
      </c>
      <c r="E7" s="29" t="s">
        <v>116</v>
      </c>
      <c r="F7" s="31" t="s">
        <v>115</v>
      </c>
      <c r="I7" s="28" t="s">
        <v>204</v>
      </c>
      <c r="J7" s="25" t="s">
        <v>88</v>
      </c>
      <c r="L7" s="25" t="s">
        <v>54</v>
      </c>
    </row>
    <row r="8" spans="1:16" x14ac:dyDescent="0.2">
      <c r="A8" s="25" t="s">
        <v>66</v>
      </c>
      <c r="D8" s="30">
        <v>7</v>
      </c>
      <c r="E8" s="29" t="s">
        <v>118</v>
      </c>
      <c r="F8" s="31" t="s">
        <v>117</v>
      </c>
      <c r="I8" s="28" t="s">
        <v>192</v>
      </c>
      <c r="J8" s="25" t="s">
        <v>98</v>
      </c>
      <c r="L8" s="25" t="s">
        <v>53</v>
      </c>
    </row>
    <row r="9" spans="1:16" x14ac:dyDescent="0.2">
      <c r="E9" s="29" t="s">
        <v>120</v>
      </c>
      <c r="F9" s="31" t="s">
        <v>119</v>
      </c>
      <c r="I9" s="28" t="s">
        <v>205</v>
      </c>
      <c r="J9" s="25" t="s">
        <v>94</v>
      </c>
    </row>
    <row r="10" spans="1:16" x14ac:dyDescent="0.2">
      <c r="E10" s="29" t="s">
        <v>121</v>
      </c>
      <c r="F10" s="31" t="s">
        <v>122</v>
      </c>
      <c r="I10" s="28" t="s">
        <v>173</v>
      </c>
      <c r="J10" s="25" t="s">
        <v>92</v>
      </c>
    </row>
    <row r="11" spans="1:16" x14ac:dyDescent="0.2">
      <c r="E11" s="29" t="s">
        <v>123</v>
      </c>
      <c r="F11" s="31" t="s">
        <v>124</v>
      </c>
      <c r="I11" s="28" t="s">
        <v>75</v>
      </c>
      <c r="J11" s="25" t="s">
        <v>87</v>
      </c>
    </row>
    <row r="12" spans="1:16" x14ac:dyDescent="0.2">
      <c r="A12" s="7" t="s">
        <v>224</v>
      </c>
      <c r="E12" s="29" t="s">
        <v>125</v>
      </c>
      <c r="F12" s="31" t="s">
        <v>126</v>
      </c>
      <c r="I12" s="28" t="s">
        <v>77</v>
      </c>
      <c r="J12" s="25" t="s">
        <v>95</v>
      </c>
    </row>
    <row r="13" spans="1:16" x14ac:dyDescent="0.2">
      <c r="A13" s="7" t="s">
        <v>225</v>
      </c>
      <c r="E13" s="29" t="s">
        <v>106</v>
      </c>
      <c r="F13" s="31" t="s">
        <v>127</v>
      </c>
      <c r="I13" s="28" t="s">
        <v>76</v>
      </c>
      <c r="J13" s="25" t="s">
        <v>96</v>
      </c>
    </row>
    <row r="14" spans="1:16" x14ac:dyDescent="0.2">
      <c r="A14" s="7" t="s">
        <v>226</v>
      </c>
      <c r="E14" s="29" t="s">
        <v>129</v>
      </c>
      <c r="F14" s="31" t="s">
        <v>130</v>
      </c>
      <c r="I14" s="28" t="s">
        <v>206</v>
      </c>
      <c r="J14" s="25" t="s">
        <v>99</v>
      </c>
    </row>
    <row r="15" spans="1:16" x14ac:dyDescent="0.2">
      <c r="E15" s="29" t="s">
        <v>132</v>
      </c>
      <c r="F15" s="31" t="s">
        <v>131</v>
      </c>
      <c r="I15" s="28" t="s">
        <v>73</v>
      </c>
      <c r="J15" s="25" t="s">
        <v>97</v>
      </c>
    </row>
    <row r="16" spans="1:16" x14ac:dyDescent="0.2">
      <c r="E16" s="29" t="s">
        <v>133</v>
      </c>
      <c r="F16" s="31" t="s">
        <v>134</v>
      </c>
      <c r="I16" s="25" t="s">
        <v>199</v>
      </c>
      <c r="J16" s="25" t="s">
        <v>90</v>
      </c>
    </row>
    <row r="17" spans="5:10" x14ac:dyDescent="0.2">
      <c r="E17" s="29" t="s">
        <v>136</v>
      </c>
      <c r="F17" s="31" t="s">
        <v>135</v>
      </c>
      <c r="I17" s="25" t="s">
        <v>200</v>
      </c>
      <c r="J17" s="25" t="s">
        <v>91</v>
      </c>
    </row>
    <row r="18" spans="5:10" x14ac:dyDescent="0.2">
      <c r="E18" s="29" t="s">
        <v>128</v>
      </c>
      <c r="F18" s="31" t="s">
        <v>137</v>
      </c>
      <c r="I18" s="25" t="s">
        <v>201</v>
      </c>
      <c r="J18" s="25" t="s">
        <v>89</v>
      </c>
    </row>
    <row r="19" spans="5:10" x14ac:dyDescent="0.2">
      <c r="E19" s="29" t="s">
        <v>139</v>
      </c>
      <c r="F19" s="31" t="s">
        <v>138</v>
      </c>
      <c r="I19" s="25"/>
      <c r="J19" s="25" t="s">
        <v>82</v>
      </c>
    </row>
    <row r="20" spans="5:10" x14ac:dyDescent="0.2">
      <c r="E20" s="29" t="s">
        <v>140</v>
      </c>
      <c r="F20" s="31" t="s">
        <v>141</v>
      </c>
      <c r="I20" s="25"/>
      <c r="J20" s="25" t="s">
        <v>85</v>
      </c>
    </row>
    <row r="21" spans="5:10" x14ac:dyDescent="0.2">
      <c r="E21" s="29" t="s">
        <v>142</v>
      </c>
      <c r="F21" s="31" t="s">
        <v>143</v>
      </c>
      <c r="I21" s="25"/>
      <c r="J21" s="25" t="s">
        <v>84</v>
      </c>
    </row>
    <row r="22" spans="5:10" x14ac:dyDescent="0.2">
      <c r="E22" s="29" t="s">
        <v>144</v>
      </c>
      <c r="F22" s="31" t="s">
        <v>145</v>
      </c>
      <c r="I22" s="25"/>
      <c r="J22" s="25" t="s">
        <v>83</v>
      </c>
    </row>
    <row r="23" spans="5:10" x14ac:dyDescent="0.2">
      <c r="E23" s="29" t="s">
        <v>103</v>
      </c>
      <c r="F23" s="31" t="s">
        <v>146</v>
      </c>
      <c r="I23" s="25"/>
      <c r="J23" s="25" t="s">
        <v>81</v>
      </c>
    </row>
    <row r="24" spans="5:10" x14ac:dyDescent="0.2">
      <c r="E24" s="29" t="s">
        <v>105</v>
      </c>
      <c r="F24" s="31" t="s">
        <v>147</v>
      </c>
      <c r="J24" s="25" t="s">
        <v>26</v>
      </c>
    </row>
    <row r="25" spans="5:10" x14ac:dyDescent="0.2">
      <c r="E25" s="29" t="s">
        <v>149</v>
      </c>
      <c r="F25" s="31" t="s">
        <v>148</v>
      </c>
      <c r="J25" s="25" t="s">
        <v>27</v>
      </c>
    </row>
    <row r="26" spans="5:10" x14ac:dyDescent="0.2">
      <c r="E26" s="29" t="s">
        <v>150</v>
      </c>
      <c r="F26" s="31" t="s">
        <v>151</v>
      </c>
      <c r="J26" s="25" t="s">
        <v>86</v>
      </c>
    </row>
    <row r="27" spans="5:10" x14ac:dyDescent="0.2">
      <c r="E27" s="25">
        <v>20</v>
      </c>
      <c r="F27" s="31" t="s">
        <v>152</v>
      </c>
      <c r="J27" s="25" t="s">
        <v>28</v>
      </c>
    </row>
    <row r="28" spans="5:10" x14ac:dyDescent="0.2">
      <c r="E28" s="25">
        <v>64</v>
      </c>
      <c r="F28" s="31" t="s">
        <v>153</v>
      </c>
    </row>
    <row r="29" spans="5:10" x14ac:dyDescent="0.2">
      <c r="E29" s="25">
        <v>60</v>
      </c>
      <c r="F29" s="31" t="s">
        <v>154</v>
      </c>
    </row>
    <row r="30" spans="5:10" x14ac:dyDescent="0.2">
      <c r="E30" s="25">
        <v>19</v>
      </c>
      <c r="F30" s="31" t="s">
        <v>155</v>
      </c>
    </row>
    <row r="31" spans="5:10" x14ac:dyDescent="0.2">
      <c r="E31" s="25">
        <v>63</v>
      </c>
      <c r="F31" s="31" t="s">
        <v>156</v>
      </c>
    </row>
    <row r="32" spans="5:10" x14ac:dyDescent="0.2">
      <c r="E32" s="25">
        <v>39</v>
      </c>
      <c r="F32" s="31" t="s">
        <v>158</v>
      </c>
    </row>
    <row r="33" spans="5:6" x14ac:dyDescent="0.2">
      <c r="E33" s="25">
        <v>105</v>
      </c>
      <c r="F33" s="31" t="s">
        <v>160</v>
      </c>
    </row>
    <row r="34" spans="5:6" x14ac:dyDescent="0.2">
      <c r="E34" s="25">
        <v>62</v>
      </c>
      <c r="F34" s="31" t="s">
        <v>207</v>
      </c>
    </row>
    <row r="35" spans="5:6" x14ac:dyDescent="0.2">
      <c r="E35" s="25">
        <v>43</v>
      </c>
      <c r="F35" s="31" t="s">
        <v>208</v>
      </c>
    </row>
    <row r="36" spans="5:6" x14ac:dyDescent="0.2">
      <c r="E36" s="25">
        <v>40</v>
      </c>
      <c r="F36" s="31" t="s">
        <v>209</v>
      </c>
    </row>
    <row r="37" spans="5:6" x14ac:dyDescent="0.2">
      <c r="E37" s="25">
        <v>58</v>
      </c>
      <c r="F37" s="31" t="s">
        <v>210</v>
      </c>
    </row>
  </sheetData>
  <sortState xmlns:xlrd2="http://schemas.microsoft.com/office/spreadsheetml/2017/richdata2" ref="J2:J27">
    <sortCondition ref="J2:J27"/>
  </sortState>
  <dataValidations count="3">
    <dataValidation type="list" allowBlank="1" showInputMessage="1" showErrorMessage="1" sqref="H36" xr:uid="{00000000-0002-0000-1100-000000000000}">
      <formula1>$F$2:$F$33</formula1>
    </dataValidation>
    <dataValidation type="list" showInputMessage="1" showErrorMessage="1" sqref="H30" xr:uid="{00000000-0002-0000-1100-000001000000}">
      <formula1>$F$2:$F$34</formula1>
    </dataValidation>
    <dataValidation type="list" showInputMessage="1" showErrorMessage="1" sqref="F16" xr:uid="{00000000-0002-0000-1100-000002000000}">
      <formula1>$F$2:$F$60</formula1>
    </dataValidation>
  </dataValidation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7"/>
  <dimension ref="A1"/>
  <sheetViews>
    <sheetView workbookViewId="0" xr3:uid="{CF366857-BBDD-5199-9BC9-FF52903B0715}"/>
  </sheetViews>
  <sheetFormatPr defaultRowHeight="15" x14ac:dyDescent="0.2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4</vt:i4>
      </vt:variant>
    </vt:vector>
  </HeadingPairs>
  <TitlesOfParts>
    <vt:vector size="23" baseType="lpstr">
      <vt:lpstr>Inicio</vt:lpstr>
      <vt:lpstr>Home</vt:lpstr>
      <vt:lpstr>Permanência</vt:lpstr>
      <vt:lpstr>Orientação</vt:lpstr>
      <vt:lpstr>Infração</vt:lpstr>
      <vt:lpstr>Ocorrência</vt:lpstr>
      <vt:lpstr>Interferencia</vt:lpstr>
      <vt:lpstr>Fumaça</vt:lpstr>
      <vt:lpstr>Atrasos</vt:lpstr>
      <vt:lpstr>Perdas </vt:lpstr>
      <vt:lpstr>Check list</vt:lpstr>
      <vt:lpstr>Fiscais</vt:lpstr>
      <vt:lpstr>Sptrans</vt:lpstr>
      <vt:lpstr>Solicitações</vt:lpstr>
      <vt:lpstr>Manutenção</vt:lpstr>
      <vt:lpstr>Limpeza</vt:lpstr>
      <vt:lpstr>Buraco</vt:lpstr>
      <vt:lpstr>Dados</vt:lpstr>
      <vt:lpstr>Plan1</vt:lpstr>
      <vt:lpstr>ANÁLISE</vt:lpstr>
      <vt:lpstr>COLISÃO</vt:lpstr>
      <vt:lpstr>SITUAÇÃO</vt:lpstr>
      <vt:lpstr>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Amaral 2018</dc:creator>
  <cp:lastModifiedBy>USUARIO</cp:lastModifiedBy>
  <cp:lastPrinted>2018-06-30T18:59:45Z</cp:lastPrinted>
  <dcterms:created xsi:type="dcterms:W3CDTF">2018-06-28T21:38:23Z</dcterms:created>
  <dcterms:modified xsi:type="dcterms:W3CDTF">2018-11-16T22:04:17Z</dcterms:modified>
</cp:coreProperties>
</file>